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Data" sheetId="2" r:id="rId6"/>
    <sheet state="visible" name="Variance Analysis" sheetId="3" r:id="rId7"/>
    <sheet state="visible" name="Assumptions &amp; Notes" sheetId="4" r:id="rId8"/>
  </sheets>
  <definedNames/>
  <calcPr/>
</workbook>
</file>

<file path=xl/sharedStrings.xml><?xml version="1.0" encoding="utf-8"?>
<sst xmlns="http://schemas.openxmlformats.org/spreadsheetml/2006/main" count="300" uniqueCount="215">
  <si>
    <t>OBU Autonomous Racing — Budget Tracker 2024/25</t>
  </si>
  <si>
    <t>Formula SAE Cost Compliance Report  |  Adapted from FIA Financial Regulations Framework</t>
  </si>
  <si>
    <t>Total Budget</t>
  </si>
  <si>
    <t>Total Actual</t>
  </si>
  <si>
    <t>Headroom</t>
  </si>
  <si>
    <t>Cap Utilisation</t>
  </si>
  <si>
    <t>Season target spend</t>
  </si>
  <si>
    <t>Year-to-date spend</t>
  </si>
  <si>
    <t>Remaining budget</t>
  </si>
  <si>
    <t>% of budget consumed</t>
  </si>
  <si>
    <t>▸  CATEGORY BREAKDOWN</t>
  </si>
  <si>
    <t>FIA-Mapped Category</t>
  </si>
  <si>
    <t>Budget (£)</t>
  </si>
  <si>
    <t>Actual (£)</t>
  </si>
  <si>
    <t>Variance (£)</t>
  </si>
  <si>
    <t>RAG</t>
  </si>
  <si>
    <t>Root Cause Summary</t>
  </si>
  <si>
    <t>Corrective Action Summary</t>
  </si>
  <si>
    <t>Chassis &amp; Aero Components</t>
  </si>
  <si>
    <t>Largest variance: Monocoque / frame materials (CFRP pre-preg, core, consumable...</t>
  </si>
  <si>
    <t>Introduce mandatory layup sign-off checklist. Maintain 10% CFRP material contingency....</t>
  </si>
  <si>
    <t>Drivetrain &amp; Suspension</t>
  </si>
  <si>
    <t>Largest variance: Steering rack, column &amp; quick-release hub...</t>
  </si>
  <si>
    <t>Qualify backup suppliers for all safety-critical steering components....</t>
  </si>
  <si>
    <t>Manufacturing &amp; Workshop</t>
  </si>
  <si>
    <t>Largest variance: CNC machine hire (uprights, brackets, pedal box — external s...</t>
  </si>
  <si>
    <t>Lock CNC geometry sign-off to Week 8. Add £300 rework contingency to CNC budget....</t>
  </si>
  <si>
    <t>Team Training &amp; Development</t>
  </si>
  <si>
    <t>Largest variance: Coursera team subscriptions (CFD, FEA, data analysis — 4 mem...</t>
  </si>
  <si>
    <t>Extend to 8 members in 2025/26. Require completion certificate as condition of membership....</t>
  </si>
  <si>
    <t>Travel &amp; Competition Logistics</t>
  </si>
  <si>
    <t>Largest variance: Van hire — Silverstone FS UK (3-day event, 7-seat + trailer)...</t>
  </si>
  <si>
    <t>Book van minimum 4 months in advance. Obtain 3 quotes. Consider trailer-share agreement....</t>
  </si>
  <si>
    <t>Testing &amp; Shakedown</t>
  </si>
  <si>
    <t>Largest variance: Circuit hire — Silverstone MIRA test day (1 day, mid-season ...</t>
  </si>
  <si>
    <t>Maintain consortium membership to retain access to discounted circuit testing....</t>
  </si>
  <si>
    <t>Equipment &amp; Tooling</t>
  </si>
  <si>
    <t>Largest variance: Oscilloscope &amp; multimeter (borrowed from university Elec Eng...</t>
  </si>
  <si>
    <t>Renew loan agreement annually. Offer reciprocal support (e.g. data analysis help)....</t>
  </si>
  <si>
    <t>TOTAL</t>
  </si>
  <si>
    <t>▸  COMPLIANCE SUMMARY</t>
  </si>
  <si>
    <t>Total Gross Overspend</t>
  </si>
  <si>
    <t>Total Gross Savings</t>
  </si>
  <si>
    <t>Net Variance</t>
  </si>
  <si>
    <t>Categories RED</t>
  </si>
  <si>
    <t>Categories AMBER</t>
  </si>
  <si>
    <t>Categories GREEN</t>
  </si>
  <si>
    <t>Prepared by: Wolfgang Guio  |  OBU Autonomous Racing  |  2024/25 Season  |  Simulated data for portfolio purposes.</t>
  </si>
  <si>
    <t>DATA INPUT SHEET — Edit blue cells only  |  Sub-component detail feeds category totals automatically</t>
  </si>
  <si>
    <t>Cat</t>
  </si>
  <si>
    <t>#</t>
  </si>
  <si>
    <t>Sub-Component / Line Item</t>
  </si>
  <si>
    <t>FIA Category</t>
  </si>
  <si>
    <t>Root Cause</t>
  </si>
  <si>
    <t>Corrective Action</t>
  </si>
  <si>
    <t>CH</t>
  </si>
  <si>
    <t>▸  Chassis &amp; Aero Components</t>
  </si>
  <si>
    <t>Monocoque / frame materials (CFRP pre-preg, core, consumables)</t>
  </si>
  <si>
    <t>Chassis &amp; Aerodynamic Parts</t>
  </si>
  <si>
    <t>Layup failure in Week 6 required full re-lamination of monocoque tub. Additional pre-preg and vacuum bagging consumables added £1,400 above budget.</t>
  </si>
  <si>
    <t>Introduce mandatory layup sign-off checklist. Maintain 10% CFRP material contingency.</t>
  </si>
  <si>
    <t>Aero package (front wing, diffuser, sidepods — outsourced laser cut &amp; waterjet)</t>
  </si>
  <si>
    <t>Post-CFD correlation required endplate and diffuser geometry revision. Two additional outsourced laser-cut iterations added £1,300 in unbudgeted parts cost.</t>
  </si>
  <si>
    <t>Freeze aero geometry at CFD sign-off gate (Week 4). Add aero iteration cost reserve.</t>
  </si>
  <si>
    <t>Bodywork &amp; fairings (GRP moulds, paint, fixings)</t>
  </si>
  <si>
    <t>Bodywork produced in-house with university mould stock. Minor underspend on fixings.</t>
  </si>
  <si>
    <t>Continue in-house production. Expand mould library for 2025/26 aero package.</t>
  </si>
  <si>
    <t>Structural adhesives, fasteners &amp; chassis consumables</t>
  </si>
  <si>
    <t>Bulk adhesive order shared with another university team reduced per-unit cost.</t>
  </si>
  <si>
    <t>Formalise inter-team procurement agreements for shared consumables.</t>
  </si>
  <si>
    <t>Safety cell / roll hoop (steel, welding materials)</t>
  </si>
  <si>
    <t>Roll hoop fabricated in-house by experienced welding lead. On budget.</t>
  </si>
  <si>
    <t>Document fabrication procedure for knowledge transfer to next year's team.</t>
  </si>
  <si>
    <t>DS</t>
  </si>
  <si>
    <t>▸  Drivetrain &amp; Suspension</t>
  </si>
  <si>
    <t>Engine &amp; intake (Yamaha YZF-R6 sourced second-hand, seals, gaskets)</t>
  </si>
  <si>
    <t>Listed Parts (Gearbox &amp; Suspension)</t>
  </si>
  <si>
    <t>Second-hand engine sourced for £200 below budget. Gasket kit bought in bulk.</t>
  </si>
  <si>
    <t>Maintain second-hand engine sourcing strategy. Document engine spec for next season.</t>
  </si>
  <si>
    <t>Gearbox internals &amp; chain drive (sprockets, chain, bearings)</t>
  </si>
  <si>
    <t>Chain and sprocket sourced via sponsor discount (15% off list price).</t>
  </si>
  <si>
    <t>Expand sponsor framework to include drivetrain consumables category.</t>
  </si>
  <si>
    <t>Suspension wishbones &amp; uprights (in-house CNC aluminium)</t>
  </si>
  <si>
    <t>Wishbone brackets CNC-machined in-house, saving £320 vs outsource quote.</t>
  </si>
  <si>
    <t>Document in-house vs outsource cost matrix. Apply model to other machined parts.</t>
  </si>
  <si>
    <t>Steering rack, column &amp; quick-release hub</t>
  </si>
  <si>
    <t>Quick-release hub sourced from new supplier at higher price after original supplier stock-out.</t>
  </si>
  <si>
    <t>Qualify backup suppliers for all safety-critical steering components.</t>
  </si>
  <si>
    <t>Wheel hubs, brake discs &amp; callipers</t>
  </si>
  <si>
    <t>Brake discs purchased as part of group buy with two other FSAE teams.</t>
  </si>
  <si>
    <t>Continue group-buy strategy for standardised brake components.</t>
  </si>
  <si>
    <t>Differential &amp; CV joints</t>
  </si>
  <si>
    <t>CV joints reused from prior season car after inspection. Differential on budget.</t>
  </si>
  <si>
    <t>Inspect and catalogue reusable drivetrain components at season end each year.</t>
  </si>
  <si>
    <t>MF</t>
  </si>
  <si>
    <t>▸  Manufacturing &amp; Workshop</t>
  </si>
  <si>
    <t>CNC machine hire (uprights, brackets, pedal box — external supplier)</t>
  </si>
  <si>
    <t>Manufacturing Operations</t>
  </si>
  <si>
    <t>Unplanned rework of upright geometry after simulation data review required two additional CNC sessions, adding £500 to hire cost.</t>
  </si>
  <si>
    <t>Lock CNC geometry sign-off to Week 8. Add £300 rework contingency to CNC budget.</t>
  </si>
  <si>
    <t>3D printing consumables (resin, FDM filament, post-processing)</t>
  </si>
  <si>
    <t>Resin prices rose 18% mid-season vs budget assumption. Additional iterations on brake duct prototypes added £150 in filament spend.</t>
  </si>
  <si>
    <t>Review consumable pricing quarterly. Set per-part print approval threshold.</t>
  </si>
  <si>
    <t>Welding materials &amp; gas (MIG/TIG — frame, exhaust, mounts)</t>
  </si>
  <si>
    <t>Gas consumption below estimate due to efficient joint preparation by welding lead.</t>
  </si>
  <si>
    <t>Record gas usage per assembly stage for improved future budgeting.</t>
  </si>
  <si>
    <t>Workshop consumables (cutting discs, PPE, lubricants, sandpaper)</t>
  </si>
  <si>
    <t>Bulk PPE order at start of season reduced per-item cost. On budget.</t>
  </si>
  <si>
    <t>Maintain bulk ordering strategy at season start.</t>
  </si>
  <si>
    <t>Outsourced waterjet &amp; laser cutting (aero brackets, plates)</t>
  </si>
  <si>
    <t>Minor overspend on one additional laser-cut bracket iteration. Within tolerance.</t>
  </si>
  <si>
    <t>Include one revision iteration in outsource budget estimate by default.</t>
  </si>
  <si>
    <t>Surface finish, anodising &amp; powder coating (external)</t>
  </si>
  <si>
    <t>Anodising of uprights and hubs on budget. Slight overspend on powder coating.</t>
  </si>
  <si>
    <t>Combine parts batches to reduce per-run powder coat cost.</t>
  </si>
  <si>
    <t>TR</t>
  </si>
  <si>
    <t>▸  Team Training &amp; Development</t>
  </si>
  <si>
    <t>Coursera team subscriptions (CFD, FEA, data analysis — 24 members × 6 months)</t>
  </si>
  <si>
    <t>Personnel (Capped Employees)</t>
  </si>
  <si>
    <t>Four team leads subscribed to Coursera for 6 months (£20/month each). Courses completed: FEA with Ansys, Python for Data Science, Vehicle Dynamics Fundamentals.</t>
  </si>
  <si>
    <t>Extend to 8 members in 2025/26. Require completion certificate as condition of membership.</t>
  </si>
  <si>
    <t>Udemy licences (individual courses)</t>
  </si>
  <si>
    <t>7 targeted Udemy courses purchased at sale prices (avg £14 vs £25 list). Covered SolidWorks advanced surfacing, MATLAB/Simulink intro, and OpenFOAM basics.</t>
  </si>
  <si>
    <t>Monitor Udemy sale cycles (typically Nov and Jan). Pre-identify courses in September.</t>
  </si>
  <si>
    <t>LinkedIn Learning team access (project management, presenting to sponsors)</t>
  </si>
  <si>
    <t>University provided subsidised LinkedIn Learning access for 10 members. Sponsor presentation and project management modules completed by all senior members.</t>
  </si>
  <si>
    <t>Leverage university learning platform deal annually. Add technical writing module.</t>
  </si>
  <si>
    <t>Internal workshop materials (printed guides, whiteboard supplies)</t>
  </si>
  <si>
    <t>University printer used for most materials at subsidised cost. Minor underspend.</t>
  </si>
  <si>
    <t>Continue using university printing facilities. Explore digital-first workshop format.</t>
  </si>
  <si>
    <t>TL</t>
  </si>
  <si>
    <t>▸  Travel &amp; Competition Logistics</t>
  </si>
  <si>
    <t>Van hire — Silverstone FS UK (3-day event, 7-seat + trailer)</t>
  </si>
  <si>
    <t>Travel &amp; Freight</t>
  </si>
  <si>
    <t>Van hire rate increased 15% vs prior year booking. No early reservation made.</t>
  </si>
  <si>
    <t>Book van minimum 4 months in advance. Obtain 3 quotes. Consider trailer-share agreement.</t>
  </si>
  <si>
    <t>Van hire — FS Germany, Hockenheim (4-day, cross-channel)</t>
  </si>
  <si>
    <t>Cross-channel ferry discount granted £100. Diesel cost higher than budgeted.</t>
  </si>
  <si>
    <t>Include 10% fuel and ferry contingency for all European events.</t>
  </si>
  <si>
    <t>Fuel costs (both events combined)</t>
  </si>
  <si>
    <t>Diesel prices rose significantly between budget-setting (Oct) and event dates (Jun/Jul). £180 overspend vs estimate.</t>
  </si>
  <si>
    <t>Index fuel budget to HMRC advisory rates published in April each year.</t>
  </si>
  <si>
    <t>Team accommodation — FS UK (4 members × 2 nights)</t>
  </si>
  <si>
    <t>AirBnB near circuit booked early. Split cost with partner team for one night.</t>
  </si>
  <si>
    <t>Continue early accommodation booking. Explore campsite options to further reduce cost.</t>
  </si>
  <si>
    <t>Team accommodation — FS Germany (4 members × 3 nights)</t>
  </si>
  <si>
    <t>Hostel booked 3 months in advance at student rate. On budget.</t>
  </si>
  <si>
    <t>Maintain advance booking strategy for European events.</t>
  </si>
  <si>
    <t>Competition entry fees (FS UK + FS Germany)</t>
  </si>
  <si>
    <t>Entry fees paid at published rates. No change from prior year.</t>
  </si>
  <si>
    <t>Budget at published rates. Apply for FSAE scholarship fund to offset entry costs.</t>
  </si>
  <si>
    <t>Freight / parts shipping (urgent courier for replacement parts mid-event)</t>
  </si>
  <si>
    <t>Upright failure at FS UK required emergency overnight courier of replacement part. £170 above budget.</t>
  </si>
  <si>
    <t>Carry a spares kit for high-risk components. Build £200 emergency freight reserve.</t>
  </si>
  <si>
    <t>TS</t>
  </si>
  <si>
    <t>▸  Testing &amp; Shakedown</t>
  </si>
  <si>
    <t>Circuit hire — Bicester (2 days, pre-season shakedown)</t>
  </si>
  <si>
    <t>Testing &amp; Track Operations</t>
  </si>
  <si>
    <t>One planned circuit day replaced by skidpad session at local airfield (free). Remaining day used for full dynamic envelope exploration.</t>
  </si>
  <si>
    <t>Continue mixed-venue testing. Formalise airfield agreement with local landowner.</t>
  </si>
  <si>
    <t>Circuit hire — Silverstone MIRA test day (1 day, mid-season setup)</t>
  </si>
  <si>
    <t>MIRA test day secured via FSAE consortium discount. On budget.</t>
  </si>
  <si>
    <t>Maintain consortium membership to retain access to discounted circuit testing.</t>
  </si>
  <si>
    <t>Tyres — test set (4 × Hoosier R25B, 13-inch)</t>
  </si>
  <si>
    <t>Tyre set purchased second-hand from retiring FSAE team. Good condition.</t>
  </si>
  <si>
    <t>Establish second-hand tyre network via FSAE UK community forum.</t>
  </si>
  <si>
    <t>Data logging consumables (SD cards, USB cables, sensor wiring)</t>
  </si>
  <si>
    <t>Components sourced via student electronics discount. Minor underspend.</t>
  </si>
  <si>
    <t>Maintain student discount registrations for electronics suppliers.</t>
  </si>
  <si>
    <t>Driver equipment hire (helmet, HANS, suit — event only)</t>
  </si>
  <si>
    <t>Helmet and HANS borrowed from university motorsport club store. Suit hired externally.</t>
  </si>
  <si>
    <t>Invest in team-owned driver equipment set in 2025/26 to eliminate hire costs.</t>
  </si>
  <si>
    <t>EQ</t>
  </si>
  <si>
    <t>▸  Equipment &amp; Tooling</t>
  </si>
  <si>
    <t>Oscilloscope &amp; multimeter (borrowed from university Elec Eng dept)</t>
  </si>
  <si>
    <t>Depreciation &amp; Capital Equipment</t>
  </si>
  <si>
    <t>Formalised loan agreement with Electrical Engineering department. Zero cost.</t>
  </si>
  <si>
    <t>Renew loan agreement annually. Offer reciprocal support (e.g. data analysis help).</t>
  </si>
  <si>
    <t>Data acquisition system (AiM Evo5 — borrowed from prior year team)</t>
  </si>
  <si>
    <t>DAQ system retained from 2023/24 car. No replacement required.</t>
  </si>
  <si>
    <t>Document DAQ condition at season end. Budget for replacement in 2026/27.</t>
  </si>
  <si>
    <t>Tooling purchases — torque wrenches, drill bits, taps &amp; dies</t>
  </si>
  <si>
    <t>Several tool purchases deferred as existing university workshop stock was sufficient. £230 underspend carried to contingency.</t>
  </si>
  <si>
    <t>Conduct tool inventory audit at season start to avoid duplicate purchases.</t>
  </si>
  <si>
    <t>Safety equipment — fire extinguisher refill, first aid kit top-up</t>
  </si>
  <si>
    <t>Extinguisher refill and first aid kit restocked at standard cost. On budget.</t>
  </si>
  <si>
    <t>Schedule annual safety equipment audit in September at season start.</t>
  </si>
  <si>
    <t>Workshop storage &amp; organisation (shelving, labelled bins, cable management)</t>
  </si>
  <si>
    <t>Shelving units sourced second-hand. Cable management materials from university stores.</t>
  </si>
  <si>
    <t>Photograph and document workshop organisation layout for handover to next committee.</t>
  </si>
  <si>
    <t>GRAND TOTAL</t>
  </si>
  <si>
    <t>VARIANCE ANALYSIS — Budget to Actual Decomposition</t>
  </si>
  <si>
    <t>Category</t>
  </si>
  <si>
    <t>Var %</t>
  </si>
  <si>
    <t>Budget Share %</t>
  </si>
  <si>
    <t>▸  KEY VARIANCE METRICS</t>
  </si>
  <si>
    <t>Worst Overspend Category</t>
  </si>
  <si>
    <t>Largest Saving Category</t>
  </si>
  <si>
    <t>Net Position</t>
  </si>
  <si>
    <t>Biggest Overspend % (cats)</t>
  </si>
  <si>
    <t>ASSUMPTIONS, METHODOLOGY &amp; NOTES</t>
  </si>
  <si>
    <t>PURPOSE</t>
  </si>
  <si>
    <t>Portfolio project demonstrating F1-style cost engineering methodology applied to a Formula SAE OBU team. Built to showcase variance analysis, FIA category mapping, and financial reporting skills for motorsport roles.</t>
  </si>
  <si>
    <t>DATA SOURCE</t>
  </si>
  <si>
    <t>All figures simulated. Sub-component breakdown reflects simulated Team cost available team reports and competition cost reports.</t>
  </si>
  <si>
    <t>FIA MAPPING</t>
  </si>
  <si>
    <t>Seven FIA Financial Regulation Article 2 categories adapted for university scale. Power Unit excluded per FIA convention. Driver compensation excluded (unpaid students). Category RAG auto-calculated from variance % thresholds: &gt;5% = RED, 0–5% = AMBER, ≤0% = GREEN.</t>
  </si>
  <si>
    <t>TRAINING</t>
  </si>
  <si>
    <t>Team Training category uses online learning subscriptions (Coursera, Udemy, LinkedIn Learning) to reflect actual course subscription costs.</t>
  </si>
  <si>
    <t>COLOUR CODE</t>
  </si>
  <si>
    <t>Blue text = editable input. Black text = formula (do not edit). Yellow/amber = key output. RAG fills: Red/Amber/Green on status cells only.</t>
  </si>
  <si>
    <t>HOW TO USE</t>
  </si>
  <si>
    <t>1. Go to Data sheet. 2. Edit blue cells (Budget, Actual, RAG, Root Cause, Corrective Action) for each sub-component. 3. Category totals update automatically. 4. Dashboard and Variance Analysis recalculate. 5. Do not edit formula cells (black text).</t>
  </si>
  <si>
    <t>AUTHOR</t>
  </si>
  <si>
    <t>Wolfgang Guio — MSc Motorsport Engineering (Distinction), Oxford Brookes University. LinkedIn: Wolfgang Guio | GitHub: wguio07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</si>
</sst>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£#,##0"/>
    <numFmt numFmtId="165" formatCode="\£#,##0;&quot;(£&quot;#,##0\);\-"/>
    <numFmt numFmtId="166" formatCode="0.0%;\(0.0%\);\-"/>
    <numFmt numFmtId="167" formatCode="0.0%"/>
  </numFmts>
  <fonts count="24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rgb="FF7B6300"/>
      <name val="Arial"/>
    </font>
    <font/>
    <font>
      <i/>
      <sz val="10.0"/>
      <color rgb="FF6B7280"/>
      <name val="Arial"/>
    </font>
    <font>
      <sz val="8.0"/>
      <color rgb="FF6B7280"/>
      <name val="Arial"/>
    </font>
    <font>
      <b/>
      <sz val="14.0"/>
      <color rgb="FF1A1A2E"/>
      <name val="Arial"/>
    </font>
    <font>
      <b/>
      <sz val="14.0"/>
      <color rgb="FF7B6300"/>
      <name val="Arial"/>
    </font>
    <font>
      <b/>
      <sz val="14.0"/>
      <color rgb="FFC0392B"/>
      <name val="Arial"/>
    </font>
    <font>
      <i/>
      <sz val="7.0"/>
      <color rgb="FF6B7280"/>
      <name val="Arial"/>
    </font>
    <font>
      <b/>
      <sz val="10.0"/>
      <color rgb="FF7B6300"/>
      <name val="Arial"/>
    </font>
    <font>
      <b/>
      <sz val="9.0"/>
      <color rgb="FF1A1A2E"/>
      <name val="Arial"/>
    </font>
    <font>
      <sz val="9.0"/>
      <color rgb="FF0000FF"/>
      <name val="Arial"/>
    </font>
    <font>
      <sz val="9.0"/>
      <color rgb="FF000000"/>
      <name val="Arial"/>
    </font>
    <font>
      <sz val="9.0"/>
      <color rgb="FF6B7280"/>
      <name val="Arial"/>
    </font>
    <font>
      <b/>
      <sz val="10.0"/>
      <color rgb="FF1A1A2E"/>
      <name val="Arial"/>
    </font>
    <font>
      <b/>
      <sz val="11.0"/>
      <color rgb="FF7B6300"/>
      <name val="Arial"/>
    </font>
    <font>
      <b/>
      <sz val="8.0"/>
      <color rgb="FF7B6300"/>
      <name val="Arial"/>
    </font>
    <font>
      <sz val="10.0"/>
      <color rgb="FF1A1A2E"/>
      <name val="Arial"/>
    </font>
    <font>
      <sz val="8.0"/>
      <color rgb="FF0000FF"/>
      <name val="Arial"/>
    </font>
    <font>
      <sz val="10.0"/>
      <color rgb="FF0000FF"/>
      <name val="Arial"/>
    </font>
    <font>
      <b/>
      <sz val="9.0"/>
      <color rgb="FF0000FF"/>
      <name val="Arial"/>
    </font>
    <font>
      <sz val="9.0"/>
      <color rgb="FF1A1A2E"/>
      <name val="Arial"/>
    </font>
    <font>
      <b/>
      <sz val="9.0"/>
      <color rgb="FF7B63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8EAF0"/>
        <bgColor rgb="FFE8EAF0"/>
      </patternFill>
    </fill>
    <fill>
      <patternFill patternType="solid">
        <fgColor rgb="FFF5F5F5"/>
        <bgColor rgb="FFF5F5F5"/>
      </patternFill>
    </fill>
    <fill>
      <patternFill patternType="solid">
        <fgColor rgb="FFDDE1EC"/>
        <bgColor rgb="FFDDE1EC"/>
      </patternFill>
    </fill>
    <fill>
      <patternFill patternType="solid">
        <fgColor rgb="FFFFFFFF"/>
        <bgColor rgb="FFFFFFFF"/>
      </patternFill>
    </fill>
    <fill>
      <patternFill patternType="solid">
        <fgColor rgb="FFEEF0F8"/>
        <bgColor rgb="FFEEF0F8"/>
      </patternFill>
    </fill>
  </fills>
  <borders count="9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1D5DB"/>
      </left>
      <top style="thin">
        <color rgb="FFD1D5DB"/>
      </top>
      <bottom style="thin">
        <color rgb="FFD1D5DB"/>
      </bottom>
    </border>
    <border>
      <top style="thin">
        <color rgb="FFD1D5DB"/>
      </top>
      <bottom style="thin">
        <color rgb="FFD1D5DB"/>
      </bottom>
    </border>
    <border>
      <right/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horizontal="left" shrinkToFit="0" vertical="center" wrapText="0"/>
    </xf>
    <xf borderId="3" fillId="0" fontId="3" numFmtId="0" xfId="0" applyBorder="1" applyFont="1"/>
    <xf borderId="4" fillId="0" fontId="3" numFmtId="0" xfId="0" applyBorder="1" applyFont="1"/>
    <xf borderId="2" fillId="2" fontId="4" numFmtId="0" xfId="0" applyAlignment="1" applyBorder="1" applyFont="1">
      <alignment horizontal="left" shrinkToFit="0" vertical="center" wrapText="0"/>
    </xf>
    <xf borderId="5" fillId="3" fontId="5" numFmtId="0" xfId="0" applyAlignment="1" applyBorder="1" applyFill="1" applyFont="1">
      <alignment horizontal="center" shrinkToFit="0" vertical="center" wrapText="0"/>
    </xf>
    <xf borderId="5" fillId="3" fontId="6" numFmtId="164" xfId="0" applyAlignment="1" applyBorder="1" applyFont="1" applyNumberFormat="1">
      <alignment horizontal="center" shrinkToFit="0" vertical="center" wrapText="0"/>
    </xf>
    <xf borderId="5" fillId="3" fontId="7" numFmtId="164" xfId="0" applyAlignment="1" applyBorder="1" applyFont="1" applyNumberFormat="1">
      <alignment horizontal="center" shrinkToFit="0" vertical="center" wrapText="0"/>
    </xf>
    <xf borderId="5" fillId="3" fontId="8" numFmtId="10" xfId="0" applyAlignment="1" applyBorder="1" applyFont="1" applyNumberFormat="1">
      <alignment horizontal="center" shrinkToFit="0" vertical="center" wrapText="0"/>
    </xf>
    <xf borderId="5" fillId="3" fontId="9" numFmtId="0" xfId="0" applyAlignment="1" applyBorder="1" applyFont="1">
      <alignment horizontal="center" shrinkToFit="0" vertical="center" wrapText="0"/>
    </xf>
    <xf borderId="6" fillId="2" fontId="10" numFmtId="0" xfId="0" applyAlignment="1" applyBorder="1" applyFont="1">
      <alignment horizontal="left" shrinkToFit="0" vertical="center" wrapText="0"/>
    </xf>
    <xf borderId="7" fillId="0" fontId="3" numFmtId="0" xfId="0" applyBorder="1" applyFont="1"/>
    <xf borderId="8" fillId="0" fontId="3" numFmtId="0" xfId="0" applyBorder="1" applyFont="1"/>
    <xf borderId="5" fillId="4" fontId="11" numFmtId="0" xfId="0" applyAlignment="1" applyBorder="1" applyFill="1" applyFont="1">
      <alignment horizontal="center" shrinkToFit="0" vertical="center" wrapText="0"/>
    </xf>
    <xf borderId="5" fillId="5" fontId="11" numFmtId="0" xfId="0" applyAlignment="1" applyBorder="1" applyFill="1" applyFont="1">
      <alignment horizontal="left" shrinkToFit="0" vertical="center" wrapText="0"/>
    </xf>
    <xf borderId="5" fillId="5" fontId="12" numFmtId="164" xfId="0" applyAlignment="1" applyBorder="1" applyFont="1" applyNumberFormat="1">
      <alignment horizontal="right" shrinkToFit="0" vertical="center" wrapText="0"/>
    </xf>
    <xf borderId="5" fillId="5" fontId="13" numFmtId="165" xfId="0" applyAlignment="1" applyBorder="1" applyFont="1" applyNumberFormat="1">
      <alignment horizontal="right" shrinkToFit="0" vertical="center" wrapText="0"/>
    </xf>
    <xf borderId="5" fillId="5" fontId="11" numFmtId="0" xfId="0" applyAlignment="1" applyBorder="1" applyFont="1">
      <alignment horizontal="center" shrinkToFit="0" vertical="center" wrapText="0"/>
    </xf>
    <xf borderId="5" fillId="5" fontId="5" numFmtId="0" xfId="0" applyAlignment="1" applyBorder="1" applyFont="1">
      <alignment horizontal="left" shrinkToFit="0" vertical="top" wrapText="1"/>
    </xf>
    <xf borderId="5" fillId="3" fontId="11" numFmtId="0" xfId="0" applyAlignment="1" applyBorder="1" applyFont="1">
      <alignment horizontal="left" shrinkToFit="0" vertical="center" wrapText="0"/>
    </xf>
    <xf borderId="5" fillId="3" fontId="12" numFmtId="164" xfId="0" applyAlignment="1" applyBorder="1" applyFont="1" applyNumberFormat="1">
      <alignment horizontal="right" shrinkToFit="0" vertical="center" wrapText="0"/>
    </xf>
    <xf borderId="5" fillId="3" fontId="13" numFmtId="165" xfId="0" applyAlignment="1" applyBorder="1" applyFont="1" applyNumberFormat="1">
      <alignment horizontal="right" shrinkToFit="0" vertical="center" wrapText="0"/>
    </xf>
    <xf borderId="5" fillId="3" fontId="11" numFmtId="0" xfId="0" applyAlignment="1" applyBorder="1" applyFont="1">
      <alignment horizontal="center" shrinkToFit="0" vertical="center" wrapText="0"/>
    </xf>
    <xf borderId="5" fillId="3" fontId="5" numFmtId="0" xfId="0" applyAlignment="1" applyBorder="1" applyFont="1">
      <alignment horizontal="left" shrinkToFit="0" vertical="top" wrapText="1"/>
    </xf>
    <xf borderId="5" fillId="2" fontId="10" numFmtId="0" xfId="0" applyAlignment="1" applyBorder="1" applyFont="1">
      <alignment horizontal="left" shrinkToFit="0" vertical="center" wrapText="0"/>
    </xf>
    <xf borderId="5" fillId="2" fontId="10" numFmtId="164" xfId="0" applyAlignment="1" applyBorder="1" applyFont="1" applyNumberFormat="1">
      <alignment horizontal="right" shrinkToFit="0" vertical="center" wrapText="0"/>
    </xf>
    <xf borderId="5" fillId="2" fontId="10" numFmtId="165" xfId="0" applyAlignment="1" applyBorder="1" applyFont="1" applyNumberFormat="1">
      <alignment horizontal="right" shrinkToFit="0" vertical="center" wrapText="0"/>
    </xf>
    <xf borderId="5" fillId="2" fontId="1" numFmtId="0" xfId="0" applyAlignment="1" applyBorder="1" applyFont="1">
      <alignment shrinkToFit="0" vertical="bottom" wrapText="0"/>
    </xf>
    <xf borderId="5" fillId="2" fontId="14" numFmtId="0" xfId="0" applyAlignment="1" applyBorder="1" applyFont="1">
      <alignment horizontal="left" shrinkToFit="0" vertical="center" wrapText="0"/>
    </xf>
    <xf borderId="5" fillId="3" fontId="15" numFmtId="164" xfId="0" applyAlignment="1" applyBorder="1" applyFont="1" applyNumberFormat="1">
      <alignment horizontal="right" shrinkToFit="0" vertical="center" wrapText="0"/>
    </xf>
    <xf borderId="5" fillId="3" fontId="1" numFmtId="0" xfId="0" applyAlignment="1" applyBorder="1" applyFont="1">
      <alignment shrinkToFit="0" vertical="bottom" wrapText="0"/>
    </xf>
    <xf borderId="5" fillId="3" fontId="15" numFmtId="1" xfId="0" applyAlignment="1" applyBorder="1" applyFont="1" applyNumberFormat="1">
      <alignment horizontal="right" shrinkToFit="0" vertical="center" wrapText="0"/>
    </xf>
    <xf borderId="2" fillId="3" fontId="9" numFmtId="0" xfId="0" applyAlignment="1" applyBorder="1" applyFont="1">
      <alignment horizontal="center" shrinkToFit="0" vertical="center" wrapText="0"/>
    </xf>
    <xf borderId="6" fillId="2" fontId="16" numFmtId="0" xfId="0" applyAlignment="1" applyBorder="1" applyFont="1">
      <alignment horizontal="center" shrinkToFit="0" vertical="center" wrapText="0"/>
    </xf>
    <xf borderId="5" fillId="6" fontId="17" numFmtId="0" xfId="0" applyAlignment="1" applyBorder="1" applyFill="1" applyFont="1">
      <alignment horizontal="center" shrinkToFit="0" vertical="center" wrapText="0"/>
    </xf>
    <xf borderId="5" fillId="6" fontId="18" numFmtId="0" xfId="0" applyAlignment="1" applyBorder="1" applyFont="1">
      <alignment horizontal="left" shrinkToFit="0" vertical="center" wrapText="0"/>
    </xf>
    <xf borderId="6" fillId="6" fontId="15" numFmtId="0" xfId="0" applyAlignment="1" applyBorder="1" applyFont="1">
      <alignment horizontal="left" shrinkToFit="0" vertical="center" wrapText="0"/>
    </xf>
    <xf borderId="5" fillId="6" fontId="15" numFmtId="164" xfId="0" applyAlignment="1" applyBorder="1" applyFont="1" applyNumberFormat="1">
      <alignment horizontal="right" shrinkToFit="0" vertical="center" wrapText="0"/>
    </xf>
    <xf borderId="5" fillId="6" fontId="11" numFmtId="165" xfId="0" applyAlignment="1" applyBorder="1" applyFont="1" applyNumberFormat="1">
      <alignment horizontal="right" shrinkToFit="0" vertical="center" wrapText="0"/>
    </xf>
    <xf borderId="5" fillId="6" fontId="11" numFmtId="166" xfId="0" applyAlignment="1" applyBorder="1" applyFont="1" applyNumberFormat="1">
      <alignment horizontal="right" shrinkToFit="0" vertical="center" wrapText="0"/>
    </xf>
    <xf borderId="5" fillId="6" fontId="11" numFmtId="0" xfId="0" applyAlignment="1" applyBorder="1" applyFont="1">
      <alignment horizontal="center" shrinkToFit="0" vertical="center" wrapText="0"/>
    </xf>
    <xf borderId="5" fillId="5" fontId="9" numFmtId="0" xfId="0" applyAlignment="1" applyBorder="1" applyFont="1">
      <alignment horizontal="center" shrinkToFit="0" vertical="center" wrapText="0"/>
    </xf>
    <xf borderId="5" fillId="5" fontId="5" numFmtId="0" xfId="0" applyAlignment="1" applyBorder="1" applyFont="1">
      <alignment horizontal="center" shrinkToFit="0" vertical="center" wrapText="0"/>
    </xf>
    <xf borderId="5" fillId="5" fontId="19" numFmtId="0" xfId="0" applyAlignment="1" applyBorder="1" applyFont="1">
      <alignment horizontal="left" shrinkToFit="0" vertical="top" wrapText="1"/>
    </xf>
    <xf borderId="5" fillId="5" fontId="9" numFmtId="0" xfId="0" applyAlignment="1" applyBorder="1" applyFont="1">
      <alignment horizontal="left" shrinkToFit="0" vertical="top" wrapText="1"/>
    </xf>
    <xf borderId="5" fillId="5" fontId="20" numFmtId="164" xfId="0" applyAlignment="1" applyBorder="1" applyFont="1" applyNumberFormat="1">
      <alignment horizontal="right" shrinkToFit="0" vertical="top" wrapText="0"/>
    </xf>
    <xf borderId="5" fillId="5" fontId="21" numFmtId="0" xfId="0" applyAlignment="1" applyBorder="1" applyFont="1">
      <alignment horizontal="center" shrinkToFit="0" vertical="top" wrapText="0"/>
    </xf>
    <xf borderId="5" fillId="3" fontId="19" numFmtId="0" xfId="0" applyAlignment="1" applyBorder="1" applyFont="1">
      <alignment horizontal="left" shrinkToFit="0" vertical="top" wrapText="1"/>
    </xf>
    <xf borderId="5" fillId="3" fontId="9" numFmtId="0" xfId="0" applyAlignment="1" applyBorder="1" applyFont="1">
      <alignment horizontal="left" shrinkToFit="0" vertical="top" wrapText="1"/>
    </xf>
    <xf borderId="5" fillId="3" fontId="20" numFmtId="164" xfId="0" applyAlignment="1" applyBorder="1" applyFont="1" applyNumberFormat="1">
      <alignment horizontal="right" shrinkToFit="0" vertical="top" wrapText="0"/>
    </xf>
    <xf borderId="5" fillId="5" fontId="19" numFmtId="0" xfId="0" applyAlignment="1" applyBorder="1" applyFont="1">
      <alignment horizontal="left" readingOrder="0" shrinkToFit="0" vertical="top" wrapText="1"/>
    </xf>
    <xf borderId="5" fillId="3" fontId="19" numFmtId="0" xfId="0" applyAlignment="1" applyBorder="1" applyFont="1">
      <alignment horizontal="left" readingOrder="0" shrinkToFit="0" vertical="top" wrapText="1"/>
    </xf>
    <xf borderId="5" fillId="3" fontId="20" numFmtId="164" xfId="0" applyAlignment="1" applyBorder="1" applyFont="1" applyNumberFormat="1">
      <alignment horizontal="right" readingOrder="0" shrinkToFit="0" vertical="top" wrapText="0"/>
    </xf>
    <xf borderId="5" fillId="5" fontId="20" numFmtId="164" xfId="0" applyAlignment="1" applyBorder="1" applyFont="1" applyNumberFormat="1">
      <alignment horizontal="right" readingOrder="0" shrinkToFit="0" vertical="top" wrapText="0"/>
    </xf>
    <xf borderId="5" fillId="2" fontId="18" numFmtId="0" xfId="0" applyAlignment="1" applyBorder="1" applyFont="1">
      <alignment horizontal="left" shrinkToFit="0" vertical="center" wrapText="0"/>
    </xf>
    <xf borderId="5" fillId="5" fontId="22" numFmtId="0" xfId="0" applyAlignment="1" applyBorder="1" applyFont="1">
      <alignment horizontal="left" shrinkToFit="0" vertical="center" wrapText="0"/>
    </xf>
    <xf borderId="5" fillId="5" fontId="13" numFmtId="164" xfId="0" applyAlignment="1" applyBorder="1" applyFont="1" applyNumberFormat="1">
      <alignment horizontal="right" shrinkToFit="0" vertical="center" wrapText="0"/>
    </xf>
    <xf borderId="5" fillId="5" fontId="13" numFmtId="166" xfId="0" applyAlignment="1" applyBorder="1" applyFont="1" applyNumberFormat="1">
      <alignment horizontal="right" shrinkToFit="0" vertical="center" wrapText="0"/>
    </xf>
    <xf borderId="5" fillId="5" fontId="13" numFmtId="167" xfId="0" applyAlignment="1" applyBorder="1" applyFont="1" applyNumberFormat="1">
      <alignment horizontal="right" shrinkToFit="0" vertical="center" wrapText="0"/>
    </xf>
    <xf borderId="5" fillId="3" fontId="22" numFmtId="0" xfId="0" applyAlignment="1" applyBorder="1" applyFont="1">
      <alignment horizontal="left" shrinkToFit="0" vertical="center" wrapText="0"/>
    </xf>
    <xf borderId="5" fillId="3" fontId="13" numFmtId="164" xfId="0" applyAlignment="1" applyBorder="1" applyFont="1" applyNumberFormat="1">
      <alignment horizontal="right" shrinkToFit="0" vertical="center" wrapText="0"/>
    </xf>
    <xf borderId="5" fillId="3" fontId="13" numFmtId="166" xfId="0" applyAlignment="1" applyBorder="1" applyFont="1" applyNumberFormat="1">
      <alignment horizontal="right" shrinkToFit="0" vertical="center" wrapText="0"/>
    </xf>
    <xf borderId="5" fillId="3" fontId="13" numFmtId="167" xfId="0" applyAlignment="1" applyBorder="1" applyFont="1" applyNumberFormat="1">
      <alignment horizontal="right" shrinkToFit="0" vertical="center" wrapText="0"/>
    </xf>
    <xf borderId="5" fillId="2" fontId="10" numFmtId="166" xfId="0" applyAlignment="1" applyBorder="1" applyFont="1" applyNumberFormat="1">
      <alignment horizontal="right" shrinkToFit="0" vertical="center" wrapText="0"/>
    </xf>
    <xf borderId="5" fillId="2" fontId="10" numFmtId="167" xfId="0" applyAlignment="1" applyBorder="1" applyFont="1" applyNumberFormat="1">
      <alignment horizontal="right" shrinkToFit="0" vertical="center" wrapText="0"/>
    </xf>
    <xf borderId="5" fillId="3" fontId="14" numFmtId="0" xfId="0" applyAlignment="1" applyBorder="1" applyFont="1">
      <alignment horizontal="left" shrinkToFit="0" vertical="center" wrapText="0"/>
    </xf>
    <xf borderId="5" fillId="3" fontId="15" numFmtId="165" xfId="0" applyAlignment="1" applyBorder="1" applyFont="1" applyNumberFormat="1">
      <alignment horizontal="right" shrinkToFit="0" vertical="center" wrapText="0"/>
    </xf>
    <xf borderId="5" fillId="3" fontId="10" numFmtId="165" xfId="0" applyAlignment="1" applyBorder="1" applyFont="1" applyNumberFormat="1">
      <alignment horizontal="right" shrinkToFit="0" vertical="center" wrapText="0"/>
    </xf>
    <xf borderId="5" fillId="3" fontId="15" numFmtId="167" xfId="0" applyAlignment="1" applyBorder="1" applyFont="1" applyNumberFormat="1">
      <alignment horizontal="right" shrinkToFit="0" vertical="center" wrapText="0"/>
    </xf>
    <xf borderId="5" fillId="3" fontId="23" numFmtId="0" xfId="0" applyAlignment="1" applyBorder="1" applyFont="1">
      <alignment horizontal="left" shrinkToFit="0" vertical="top" wrapText="0"/>
    </xf>
    <xf borderId="5" fillId="5" fontId="22" numFmtId="0" xfId="0" applyAlignment="1" applyBorder="1" applyFont="1">
      <alignment horizontal="left" readingOrder="0" shrinkToFit="0" vertical="top" wrapText="1"/>
    </xf>
    <xf borderId="5" fillId="5" fontId="22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5">
    <dxf>
      <font>
        <b/>
        <color rgb="FFFFFFFF"/>
        <name val="Arial"/>
      </font>
      <fill>
        <patternFill patternType="solid">
          <fgColor rgb="FFE8002D"/>
          <bgColor rgb="FFE8002D"/>
        </patternFill>
      </fill>
      <border/>
    </dxf>
    <dxf>
      <font>
        <b/>
        <color rgb="FFFFFFFF"/>
        <name val="Arial"/>
      </font>
      <fill>
        <patternFill patternType="solid">
          <fgColor rgb="FFFFA500"/>
          <bgColor rgb="FFFFA500"/>
        </patternFill>
      </fill>
      <border/>
    </dxf>
    <dxf>
      <font>
        <b/>
        <color rgb="FFFFFFFF"/>
        <name val="Arial"/>
      </font>
      <fill>
        <patternFill patternType="solid">
          <fgColor rgb="FF00A651"/>
          <bgColor rgb="FF00A651"/>
        </patternFill>
      </fill>
      <border/>
    </dxf>
    <dxf>
      <font>
        <b/>
        <color rgb="FFC0392B"/>
        <name val="Arial"/>
      </font>
      <fill>
        <patternFill patternType="none"/>
      </fill>
      <border/>
    </dxf>
    <dxf>
      <font>
        <b/>
        <color rgb="FF1E7A45"/>
        <name val="Arial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C0D4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30.0"/>
    <col customWidth="1" min="3" max="5" width="14.0"/>
    <col customWidth="1" min="6" max="6" width="12.0"/>
    <col customWidth="1" min="7" max="8" width="36.0"/>
    <col customWidth="1" min="9" max="9" width="2.0"/>
    <col customWidth="1" min="10" max="26" width="8.71"/>
  </cols>
  <sheetData>
    <row r="1" ht="18.0" customHeight="1"/>
    <row r="2" ht="33.75" customHeight="1">
      <c r="A2" s="1"/>
      <c r="B2" s="2" t="s">
        <v>0</v>
      </c>
      <c r="C2" s="3"/>
      <c r="D2" s="3"/>
      <c r="E2" s="3"/>
      <c r="F2" s="3"/>
      <c r="G2" s="3"/>
      <c r="H2" s="4"/>
      <c r="I2" s="1"/>
    </row>
    <row r="3" ht="19.5" customHeight="1">
      <c r="B3" s="5" t="s">
        <v>1</v>
      </c>
      <c r="C3" s="3"/>
      <c r="D3" s="3"/>
      <c r="E3" s="3"/>
      <c r="F3" s="3"/>
      <c r="G3" s="3"/>
      <c r="H3" s="4"/>
    </row>
    <row r="4" ht="18.0" customHeight="1"/>
    <row r="5" ht="18.0" customHeight="1">
      <c r="B5" s="6" t="s">
        <v>2</v>
      </c>
      <c r="C5" s="6" t="s">
        <v>3</v>
      </c>
      <c r="D5" s="6" t="s">
        <v>4</v>
      </c>
      <c r="E5" s="6" t="s">
        <v>5</v>
      </c>
    </row>
    <row r="6" ht="18.0" customHeight="1">
      <c r="B6" s="7">
        <f>Data!E48</f>
        <v>38680</v>
      </c>
      <c r="C6" s="7">
        <f>Data!F48</f>
        <v>41070</v>
      </c>
      <c r="D6" s="8">
        <f>Data!E48-Data!F48</f>
        <v>-2390</v>
      </c>
      <c r="E6" s="9">
        <f>Data!F48/Data!E48</f>
        <v>1.061789038</v>
      </c>
    </row>
    <row r="7" ht="18.0" customHeight="1">
      <c r="B7" s="10" t="s">
        <v>6</v>
      </c>
      <c r="C7" s="10" t="s">
        <v>7</v>
      </c>
      <c r="D7" s="10" t="s">
        <v>8</v>
      </c>
      <c r="E7" s="10" t="s">
        <v>9</v>
      </c>
    </row>
    <row r="8" ht="18.0" customHeight="1"/>
    <row r="9" ht="18.0" customHeight="1">
      <c r="B9" s="11" t="s">
        <v>10</v>
      </c>
      <c r="C9" s="12"/>
      <c r="D9" s="12"/>
      <c r="E9" s="12"/>
      <c r="F9" s="12"/>
      <c r="G9" s="12"/>
      <c r="H9" s="13"/>
    </row>
    <row r="10" ht="18.0" customHeight="1">
      <c r="B10" s="14" t="s">
        <v>11</v>
      </c>
      <c r="C10" s="14" t="s">
        <v>12</v>
      </c>
      <c r="D10" s="14" t="s">
        <v>13</v>
      </c>
      <c r="E10" s="14" t="s">
        <v>14</v>
      </c>
      <c r="F10" s="14" t="s">
        <v>15</v>
      </c>
      <c r="G10" s="14" t="s">
        <v>16</v>
      </c>
      <c r="H10" s="14" t="s">
        <v>17</v>
      </c>
    </row>
    <row r="11" ht="43.5" customHeight="1">
      <c r="B11" s="15" t="s">
        <v>18</v>
      </c>
      <c r="C11" s="16">
        <f>Data!E3</f>
        <v>11750</v>
      </c>
      <c r="D11" s="16">
        <f>Data!F3</f>
        <v>14200</v>
      </c>
      <c r="E11" s="17">
        <f t="shared" ref="E11:E18" si="1">D11-C11</f>
        <v>2450</v>
      </c>
      <c r="F11" s="18" t="str">
        <f t="shared" ref="F11:F17" si="2">IF(C11=0,"N/A",IF((D11-C11)/C11&gt;0.05,"RED",IF((D11-C11)/C11&gt;0,"AMBER","GREEN")))</f>
        <v>RED</v>
      </c>
      <c r="G11" s="19" t="s">
        <v>19</v>
      </c>
      <c r="H11" s="19" t="s">
        <v>20</v>
      </c>
    </row>
    <row r="12" ht="43.5" customHeight="1">
      <c r="B12" s="20" t="s">
        <v>21</v>
      </c>
      <c r="C12" s="21">
        <f>Data!E9</f>
        <v>9200</v>
      </c>
      <c r="D12" s="21">
        <f>Data!F9</f>
        <v>8750</v>
      </c>
      <c r="E12" s="22">
        <f t="shared" si="1"/>
        <v>-450</v>
      </c>
      <c r="F12" s="23" t="str">
        <f t="shared" si="2"/>
        <v>GREEN</v>
      </c>
      <c r="G12" s="24" t="s">
        <v>22</v>
      </c>
      <c r="H12" s="24" t="s">
        <v>23</v>
      </c>
    </row>
    <row r="13" ht="43.5" customHeight="1">
      <c r="B13" s="15" t="s">
        <v>24</v>
      </c>
      <c r="C13" s="16">
        <f>Data!E16</f>
        <v>6800</v>
      </c>
      <c r="D13" s="16">
        <f>Data!F16</f>
        <v>7600</v>
      </c>
      <c r="E13" s="17">
        <f t="shared" si="1"/>
        <v>800</v>
      </c>
      <c r="F13" s="18" t="str">
        <f t="shared" si="2"/>
        <v>RED</v>
      </c>
      <c r="G13" s="19" t="s">
        <v>25</v>
      </c>
      <c r="H13" s="19" t="s">
        <v>26</v>
      </c>
    </row>
    <row r="14" ht="43.5" customHeight="1">
      <c r="B14" s="20" t="s">
        <v>27</v>
      </c>
      <c r="C14" s="21">
        <f>Data!E23</f>
        <v>1100</v>
      </c>
      <c r="D14" s="21">
        <f>Data!F23</f>
        <v>1060</v>
      </c>
      <c r="E14" s="22">
        <f t="shared" si="1"/>
        <v>-40</v>
      </c>
      <c r="F14" s="23" t="str">
        <f t="shared" si="2"/>
        <v>GREEN</v>
      </c>
      <c r="G14" s="24" t="s">
        <v>28</v>
      </c>
      <c r="H14" s="24" t="s">
        <v>29</v>
      </c>
    </row>
    <row r="15" ht="43.5" customHeight="1">
      <c r="B15" s="15" t="s">
        <v>30</v>
      </c>
      <c r="C15" s="16">
        <f>Data!E28</f>
        <v>5200</v>
      </c>
      <c r="D15" s="16">
        <f>Data!F28</f>
        <v>5410</v>
      </c>
      <c r="E15" s="17">
        <f t="shared" si="1"/>
        <v>210</v>
      </c>
      <c r="F15" s="18" t="str">
        <f t="shared" si="2"/>
        <v>AMBER</v>
      </c>
      <c r="G15" s="19" t="s">
        <v>31</v>
      </c>
      <c r="H15" s="19" t="s">
        <v>32</v>
      </c>
    </row>
    <row r="16" ht="43.5" customHeight="1">
      <c r="B16" s="20" t="s">
        <v>33</v>
      </c>
      <c r="C16" s="21">
        <f>Data!E36</f>
        <v>3380</v>
      </c>
      <c r="D16" s="21">
        <f>Data!F36</f>
        <v>3100</v>
      </c>
      <c r="E16" s="22">
        <f t="shared" si="1"/>
        <v>-280</v>
      </c>
      <c r="F16" s="23" t="str">
        <f t="shared" si="2"/>
        <v>GREEN</v>
      </c>
      <c r="G16" s="24" t="s">
        <v>34</v>
      </c>
      <c r="H16" s="24" t="s">
        <v>35</v>
      </c>
    </row>
    <row r="17" ht="43.5" customHeight="1">
      <c r="B17" s="15" t="s">
        <v>36</v>
      </c>
      <c r="C17" s="16">
        <f>Data!E42</f>
        <v>1250</v>
      </c>
      <c r="D17" s="16">
        <f>Data!F42</f>
        <v>950</v>
      </c>
      <c r="E17" s="17">
        <f t="shared" si="1"/>
        <v>-300</v>
      </c>
      <c r="F17" s="18" t="str">
        <f t="shared" si="2"/>
        <v>GREEN</v>
      </c>
      <c r="G17" s="19" t="s">
        <v>37</v>
      </c>
      <c r="H17" s="19" t="s">
        <v>38</v>
      </c>
    </row>
    <row r="18" ht="18.0" customHeight="1">
      <c r="B18" s="25" t="s">
        <v>39</v>
      </c>
      <c r="C18" s="26">
        <f t="shared" ref="C18:D18" si="3">SUM(C11:C17)</f>
        <v>38680</v>
      </c>
      <c r="D18" s="26">
        <f t="shared" si="3"/>
        <v>41070</v>
      </c>
      <c r="E18" s="27">
        <f t="shared" si="1"/>
        <v>2390</v>
      </c>
      <c r="F18" s="28"/>
      <c r="G18" s="28"/>
      <c r="H18" s="28"/>
    </row>
    <row r="19" ht="18.0" customHeight="1"/>
    <row r="20" ht="18.0" customHeight="1">
      <c r="B20" s="11" t="s">
        <v>40</v>
      </c>
      <c r="C20" s="12"/>
      <c r="D20" s="12"/>
      <c r="E20" s="12"/>
      <c r="F20" s="12"/>
      <c r="G20" s="12"/>
      <c r="H20" s="13"/>
    </row>
    <row r="21" ht="18.0" customHeight="1">
      <c r="B21" s="29" t="s">
        <v>41</v>
      </c>
      <c r="C21" s="30">
        <f>SUMIF(E11:E17,"&gt;0",E11:E17)</f>
        <v>3460</v>
      </c>
      <c r="D21" s="31"/>
      <c r="E21" s="31"/>
      <c r="F21" s="31"/>
      <c r="G21" s="31"/>
      <c r="H21" s="31"/>
    </row>
    <row r="22" ht="18.0" customHeight="1">
      <c r="B22" s="29" t="s">
        <v>42</v>
      </c>
      <c r="C22" s="30">
        <f>ABS(SUMIF(E11:E17,"&lt;0",E11:E17))</f>
        <v>1070</v>
      </c>
      <c r="D22" s="31"/>
      <c r="E22" s="31"/>
      <c r="F22" s="31"/>
      <c r="G22" s="31"/>
      <c r="H22" s="31"/>
    </row>
    <row r="23" ht="18.0" customHeight="1">
      <c r="B23" s="29" t="s">
        <v>43</v>
      </c>
      <c r="C23" s="30">
        <f>D18-C18</f>
        <v>2390</v>
      </c>
      <c r="D23" s="31"/>
      <c r="E23" s="31"/>
      <c r="F23" s="31"/>
      <c r="G23" s="31"/>
      <c r="H23" s="31"/>
    </row>
    <row r="24" ht="18.0" customHeight="1">
      <c r="B24" s="29" t="s">
        <v>44</v>
      </c>
      <c r="C24" s="32">
        <f>COUNTIF(F11:F17,"RED")</f>
        <v>2</v>
      </c>
      <c r="D24" s="31"/>
      <c r="E24" s="31"/>
      <c r="F24" s="31"/>
      <c r="G24" s="31"/>
      <c r="H24" s="31"/>
    </row>
    <row r="25" ht="18.0" customHeight="1">
      <c r="B25" s="29" t="s">
        <v>45</v>
      </c>
      <c r="C25" s="32">
        <f>COUNTIF(F11:F17,"AMBER")</f>
        <v>1</v>
      </c>
      <c r="D25" s="31"/>
      <c r="E25" s="31"/>
      <c r="F25" s="31"/>
      <c r="G25" s="31"/>
      <c r="H25" s="31"/>
    </row>
    <row r="26" ht="18.0" customHeight="1">
      <c r="B26" s="29" t="s">
        <v>46</v>
      </c>
      <c r="C26" s="32">
        <f>COUNTIF(F11:F17,"GREEN")</f>
        <v>4</v>
      </c>
      <c r="D26" s="31"/>
      <c r="E26" s="31"/>
      <c r="F26" s="31"/>
      <c r="G26" s="31"/>
      <c r="H26" s="31"/>
    </row>
    <row r="27" ht="18.0" customHeight="1"/>
    <row r="28" ht="18.0" customHeight="1">
      <c r="B28" s="33" t="s">
        <v>47</v>
      </c>
      <c r="C28" s="3"/>
      <c r="D28" s="3"/>
      <c r="E28" s="3"/>
      <c r="F28" s="3"/>
      <c r="G28" s="3"/>
      <c r="H28" s="4"/>
    </row>
    <row r="29" ht="18.0" customHeight="1"/>
    <row r="30" ht="18.0" customHeight="1"/>
    <row r="31" ht="18.0" customHeight="1"/>
    <row r="32" ht="18.0" customHeight="1"/>
    <row r="33" ht="18.0" customHeight="1"/>
    <row r="34" ht="18.0" customHeight="1"/>
    <row r="35" ht="18.0" customHeight="1"/>
    <row r="36" ht="18.0" customHeight="1"/>
    <row r="37" ht="18.0" customHeight="1"/>
    <row r="38" ht="18.0" customHeight="1"/>
    <row r="39" ht="18.0" customHeight="1"/>
    <row r="40" ht="18.0" customHeight="1"/>
    <row r="41" ht="18.0" customHeight="1"/>
    <row r="42" ht="18.0" customHeight="1"/>
    <row r="43" ht="18.0" customHeight="1"/>
    <row r="44" ht="18.0" customHeight="1"/>
    <row r="45" ht="18.0" customHeight="1"/>
    <row r="46" ht="18.0" customHeight="1"/>
    <row r="47" ht="18.0" customHeight="1"/>
    <row r="48" ht="18.0" customHeight="1"/>
    <row r="49" ht="18.0" customHeight="1"/>
    <row r="50" ht="18.0" customHeight="1"/>
    <row r="51" ht="18.0" customHeight="1"/>
    <row r="52" ht="18.0" customHeight="1"/>
    <row r="53" ht="18.0" customHeight="1"/>
    <row r="54" ht="18.0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2:H2"/>
    <mergeCell ref="B3:H3"/>
    <mergeCell ref="B9:H9"/>
    <mergeCell ref="B20:H20"/>
    <mergeCell ref="B28:H28"/>
  </mergeCells>
  <conditionalFormatting sqref="F11:F17">
    <cfRule type="cellIs" dxfId="0" priority="1" operator="equal">
      <formula>"RED"</formula>
    </cfRule>
  </conditionalFormatting>
  <conditionalFormatting sqref="F11:F17">
    <cfRule type="cellIs" dxfId="1" priority="2" operator="equal">
      <formula>"AMBER"</formula>
    </cfRule>
  </conditionalFormatting>
  <conditionalFormatting sqref="F11:F17">
    <cfRule type="cellIs" dxfId="2" priority="3" operator="equal">
      <formula>"GREEN"</formula>
    </cfRule>
  </conditionalFormatting>
  <conditionalFormatting sqref="E11:E18">
    <cfRule type="cellIs" dxfId="3" priority="4" operator="greaterThan">
      <formula>0</formula>
    </cfRule>
  </conditionalFormatting>
  <conditionalFormatting sqref="E11:E18">
    <cfRule type="cellIs" dxfId="4" priority="5" operator="less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8BFDA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6.0"/>
    <col customWidth="1" min="3" max="3" width="36.0"/>
    <col customWidth="1" min="4" max="4" width="18.0"/>
    <col customWidth="1" min="5" max="6" width="13.0"/>
    <col customWidth="1" min="7" max="7" width="10.0"/>
    <col customWidth="1" min="8" max="9" width="44.0"/>
    <col customWidth="1" min="10" max="26" width="8.71"/>
  </cols>
  <sheetData>
    <row r="1" ht="21.75" customHeight="1">
      <c r="B1" s="34" t="s">
        <v>48</v>
      </c>
      <c r="C1" s="12"/>
      <c r="D1" s="12"/>
      <c r="E1" s="12"/>
      <c r="F1" s="12"/>
      <c r="G1" s="12"/>
      <c r="H1" s="12"/>
      <c r="I1" s="13"/>
    </row>
    <row r="2" ht="18.0" customHeight="1">
      <c r="A2" s="14" t="s">
        <v>49</v>
      </c>
      <c r="B2" s="14" t="s">
        <v>50</v>
      </c>
      <c r="C2" s="14" t="s">
        <v>51</v>
      </c>
      <c r="D2" s="14" t="s">
        <v>52</v>
      </c>
      <c r="E2" s="14" t="s">
        <v>12</v>
      </c>
      <c r="F2" s="14" t="s">
        <v>13</v>
      </c>
      <c r="G2" s="14" t="s">
        <v>15</v>
      </c>
      <c r="H2" s="14" t="s">
        <v>53</v>
      </c>
      <c r="I2" s="14" t="s">
        <v>54</v>
      </c>
    </row>
    <row r="3" ht="19.5" customHeight="1">
      <c r="A3" s="35" t="s">
        <v>55</v>
      </c>
      <c r="B3" s="36"/>
      <c r="C3" s="37" t="s">
        <v>56</v>
      </c>
      <c r="D3" s="13"/>
      <c r="E3" s="38">
        <f t="shared" ref="E3:F3" si="1">SUM(E4:E8)</f>
        <v>11750</v>
      </c>
      <c r="F3" s="38">
        <f t="shared" si="1"/>
        <v>14200</v>
      </c>
      <c r="G3" s="39">
        <f>F3-E3</f>
        <v>2450</v>
      </c>
      <c r="H3" s="40">
        <f>IF(E3=0,0,(F3-E3)/E3)</f>
        <v>0.2085106383</v>
      </c>
      <c r="I3" s="41" t="str">
        <f>IF(H3&gt;0.05,"RED",IF(H3&gt;0,"AMBER","GREEN"))</f>
        <v>RED</v>
      </c>
    </row>
    <row r="4" ht="48.0" customHeight="1">
      <c r="A4" s="42" t="s">
        <v>55</v>
      </c>
      <c r="B4" s="43">
        <v>1.0</v>
      </c>
      <c r="C4" s="44" t="s">
        <v>57</v>
      </c>
      <c r="D4" s="45" t="s">
        <v>58</v>
      </c>
      <c r="E4" s="46">
        <v>4800.0</v>
      </c>
      <c r="F4" s="46">
        <v>6200.0</v>
      </c>
      <c r="G4" s="47" t="str">
        <f t="shared" ref="G4:G8" si="2">IF(E4=0,"N/A",IF((F4-E4)/E4&gt;0.05,"RED",IF((F4-E4)/E4&gt;0,"AMBER","GREEN")))</f>
        <v>RED</v>
      </c>
      <c r="H4" s="44" t="s">
        <v>59</v>
      </c>
      <c r="I4" s="44" t="s">
        <v>60</v>
      </c>
    </row>
    <row r="5" ht="48.0" customHeight="1">
      <c r="A5" s="10" t="s">
        <v>55</v>
      </c>
      <c r="B5" s="6">
        <v>2.0</v>
      </c>
      <c r="C5" s="48" t="s">
        <v>61</v>
      </c>
      <c r="D5" s="49" t="s">
        <v>58</v>
      </c>
      <c r="E5" s="50">
        <v>3200.0</v>
      </c>
      <c r="F5" s="50">
        <v>4500.0</v>
      </c>
      <c r="G5" s="47" t="str">
        <f t="shared" si="2"/>
        <v>RED</v>
      </c>
      <c r="H5" s="48" t="s">
        <v>62</v>
      </c>
      <c r="I5" s="48" t="s">
        <v>63</v>
      </c>
    </row>
    <row r="6" ht="48.0" customHeight="1">
      <c r="A6" s="42" t="s">
        <v>55</v>
      </c>
      <c r="B6" s="43">
        <v>3.0</v>
      </c>
      <c r="C6" s="44" t="s">
        <v>64</v>
      </c>
      <c r="D6" s="45" t="s">
        <v>58</v>
      </c>
      <c r="E6" s="46">
        <v>2100.0</v>
      </c>
      <c r="F6" s="46">
        <v>1950.0</v>
      </c>
      <c r="G6" s="47" t="str">
        <f t="shared" si="2"/>
        <v>GREEN</v>
      </c>
      <c r="H6" s="44" t="s">
        <v>65</v>
      </c>
      <c r="I6" s="44" t="s">
        <v>66</v>
      </c>
    </row>
    <row r="7" ht="48.0" customHeight="1">
      <c r="A7" s="10" t="s">
        <v>55</v>
      </c>
      <c r="B7" s="6">
        <v>4.0</v>
      </c>
      <c r="C7" s="48" t="s">
        <v>67</v>
      </c>
      <c r="D7" s="49" t="s">
        <v>58</v>
      </c>
      <c r="E7" s="50">
        <v>900.0</v>
      </c>
      <c r="F7" s="50">
        <v>820.0</v>
      </c>
      <c r="G7" s="47" t="str">
        <f t="shared" si="2"/>
        <v>GREEN</v>
      </c>
      <c r="H7" s="48" t="s">
        <v>68</v>
      </c>
      <c r="I7" s="48" t="s">
        <v>69</v>
      </c>
    </row>
    <row r="8" ht="48.0" customHeight="1">
      <c r="A8" s="42" t="s">
        <v>55</v>
      </c>
      <c r="B8" s="43">
        <v>5.0</v>
      </c>
      <c r="C8" s="44" t="s">
        <v>70</v>
      </c>
      <c r="D8" s="45" t="s">
        <v>58</v>
      </c>
      <c r="E8" s="46">
        <v>750.0</v>
      </c>
      <c r="F8" s="46">
        <v>730.0</v>
      </c>
      <c r="G8" s="47" t="str">
        <f t="shared" si="2"/>
        <v>GREEN</v>
      </c>
      <c r="H8" s="44" t="s">
        <v>71</v>
      </c>
      <c r="I8" s="44" t="s">
        <v>72</v>
      </c>
    </row>
    <row r="9" ht="19.5" customHeight="1">
      <c r="A9" s="35" t="s">
        <v>73</v>
      </c>
      <c r="B9" s="36"/>
      <c r="C9" s="37" t="s">
        <v>74</v>
      </c>
      <c r="D9" s="13"/>
      <c r="E9" s="38">
        <f t="shared" ref="E9:F9" si="3">SUM(E10:E15)</f>
        <v>9200</v>
      </c>
      <c r="F9" s="38">
        <f t="shared" si="3"/>
        <v>8750</v>
      </c>
      <c r="G9" s="38">
        <f>F9-E9</f>
        <v>-450</v>
      </c>
      <c r="H9" s="40">
        <f>IF(E9=0,0,(F9-E9)/E9)</f>
        <v>-0.04891304348</v>
      </c>
      <c r="I9" s="41" t="str">
        <f>IF(H9&gt;0.05,"RED",IF(H9&gt;0,"AMBER","GREEN"))</f>
        <v>GREEN</v>
      </c>
    </row>
    <row r="10" ht="48.0" customHeight="1">
      <c r="A10" s="42" t="s">
        <v>73</v>
      </c>
      <c r="B10" s="43">
        <v>1.0</v>
      </c>
      <c r="C10" s="44" t="s">
        <v>75</v>
      </c>
      <c r="D10" s="45" t="s">
        <v>76</v>
      </c>
      <c r="E10" s="46">
        <v>2800.0</v>
      </c>
      <c r="F10" s="46">
        <v>2650.0</v>
      </c>
      <c r="G10" s="47" t="str">
        <f t="shared" ref="G10:G15" si="4">IF(E10=0,"N/A",IF((F10-E10)/E10&gt;0.05,"RED",IF((F10-E10)/E10&gt;0,"AMBER","GREEN")))</f>
        <v>GREEN</v>
      </c>
      <c r="H10" s="44" t="s">
        <v>77</v>
      </c>
      <c r="I10" s="44" t="s">
        <v>78</v>
      </c>
    </row>
    <row r="11" ht="48.0" customHeight="1">
      <c r="A11" s="10" t="s">
        <v>73</v>
      </c>
      <c r="B11" s="6">
        <v>2.0</v>
      </c>
      <c r="C11" s="48" t="s">
        <v>79</v>
      </c>
      <c r="D11" s="49" t="s">
        <v>76</v>
      </c>
      <c r="E11" s="50">
        <v>1400.0</v>
      </c>
      <c r="F11" s="50">
        <v>1280.0</v>
      </c>
      <c r="G11" s="47" t="str">
        <f t="shared" si="4"/>
        <v>GREEN</v>
      </c>
      <c r="H11" s="48" t="s">
        <v>80</v>
      </c>
      <c r="I11" s="48" t="s">
        <v>81</v>
      </c>
    </row>
    <row r="12" ht="48.0" customHeight="1">
      <c r="A12" s="42" t="s">
        <v>73</v>
      </c>
      <c r="B12" s="43">
        <v>3.0</v>
      </c>
      <c r="C12" s="44" t="s">
        <v>82</v>
      </c>
      <c r="D12" s="45" t="s">
        <v>76</v>
      </c>
      <c r="E12" s="46">
        <v>1800.0</v>
      </c>
      <c r="F12" s="46">
        <v>1600.0</v>
      </c>
      <c r="G12" s="47" t="str">
        <f t="shared" si="4"/>
        <v>GREEN</v>
      </c>
      <c r="H12" s="44" t="s">
        <v>83</v>
      </c>
      <c r="I12" s="44" t="s">
        <v>84</v>
      </c>
    </row>
    <row r="13" ht="48.0" customHeight="1">
      <c r="A13" s="10" t="s">
        <v>73</v>
      </c>
      <c r="B13" s="6">
        <v>4.0</v>
      </c>
      <c r="C13" s="48" t="s">
        <v>85</v>
      </c>
      <c r="D13" s="49" t="s">
        <v>76</v>
      </c>
      <c r="E13" s="50">
        <v>950.0</v>
      </c>
      <c r="F13" s="50">
        <v>1050.0</v>
      </c>
      <c r="G13" s="47" t="str">
        <f t="shared" si="4"/>
        <v>RED</v>
      </c>
      <c r="H13" s="48" t="s">
        <v>86</v>
      </c>
      <c r="I13" s="48" t="s">
        <v>87</v>
      </c>
    </row>
    <row r="14" ht="48.0" customHeight="1">
      <c r="A14" s="42" t="s">
        <v>73</v>
      </c>
      <c r="B14" s="43">
        <v>5.0</v>
      </c>
      <c r="C14" s="44" t="s">
        <v>88</v>
      </c>
      <c r="D14" s="45" t="s">
        <v>76</v>
      </c>
      <c r="E14" s="46">
        <v>1400.0</v>
      </c>
      <c r="F14" s="46">
        <v>1350.0</v>
      </c>
      <c r="G14" s="47" t="str">
        <f t="shared" si="4"/>
        <v>GREEN</v>
      </c>
      <c r="H14" s="44" t="s">
        <v>89</v>
      </c>
      <c r="I14" s="44" t="s">
        <v>90</v>
      </c>
    </row>
    <row r="15" ht="48.0" customHeight="1">
      <c r="A15" s="10" t="s">
        <v>73</v>
      </c>
      <c r="B15" s="6">
        <v>6.0</v>
      </c>
      <c r="C15" s="48" t="s">
        <v>91</v>
      </c>
      <c r="D15" s="49" t="s">
        <v>76</v>
      </c>
      <c r="E15" s="50">
        <v>850.0</v>
      </c>
      <c r="F15" s="50">
        <v>820.0</v>
      </c>
      <c r="G15" s="47" t="str">
        <f t="shared" si="4"/>
        <v>GREEN</v>
      </c>
      <c r="H15" s="48" t="s">
        <v>92</v>
      </c>
      <c r="I15" s="48" t="s">
        <v>93</v>
      </c>
    </row>
    <row r="16" ht="19.5" customHeight="1">
      <c r="A16" s="35" t="s">
        <v>94</v>
      </c>
      <c r="B16" s="36"/>
      <c r="C16" s="37" t="s">
        <v>95</v>
      </c>
      <c r="D16" s="13"/>
      <c r="E16" s="38">
        <f t="shared" ref="E16:F16" si="5">SUM(E17:E22)</f>
        <v>6800</v>
      </c>
      <c r="F16" s="38">
        <f t="shared" si="5"/>
        <v>7600</v>
      </c>
      <c r="G16" s="38">
        <f>F16-E16</f>
        <v>800</v>
      </c>
      <c r="H16" s="40">
        <f>IF(E16=0,0,(F16-E16)/E16)</f>
        <v>0.1176470588</v>
      </c>
      <c r="I16" s="41" t="str">
        <f>IF(H16&gt;0.05,"RED",IF(H16&gt;0,"AMBER","GREEN"))</f>
        <v>RED</v>
      </c>
    </row>
    <row r="17" ht="48.0" customHeight="1">
      <c r="A17" s="42" t="s">
        <v>94</v>
      </c>
      <c r="B17" s="43">
        <v>1.0</v>
      </c>
      <c r="C17" s="44" t="s">
        <v>96</v>
      </c>
      <c r="D17" s="45" t="s">
        <v>97</v>
      </c>
      <c r="E17" s="46">
        <v>2800.0</v>
      </c>
      <c r="F17" s="46">
        <v>3300.0</v>
      </c>
      <c r="G17" s="47" t="str">
        <f t="shared" ref="G17:G22" si="6">IF(E17=0,"N/A",IF((F17-E17)/E17&gt;0.05,"RED",IF((F17-E17)/E17&gt;0,"AMBER","GREEN")))</f>
        <v>RED</v>
      </c>
      <c r="H17" s="44" t="s">
        <v>98</v>
      </c>
      <c r="I17" s="44" t="s">
        <v>99</v>
      </c>
    </row>
    <row r="18" ht="48.0" customHeight="1">
      <c r="A18" s="10" t="s">
        <v>94</v>
      </c>
      <c r="B18" s="6">
        <v>2.0</v>
      </c>
      <c r="C18" s="48" t="s">
        <v>100</v>
      </c>
      <c r="D18" s="49" t="s">
        <v>97</v>
      </c>
      <c r="E18" s="50">
        <v>1200.0</v>
      </c>
      <c r="F18" s="50">
        <v>1500.0</v>
      </c>
      <c r="G18" s="47" t="str">
        <f t="shared" si="6"/>
        <v>RED</v>
      </c>
      <c r="H18" s="48" t="s">
        <v>101</v>
      </c>
      <c r="I18" s="48" t="s">
        <v>102</v>
      </c>
    </row>
    <row r="19" ht="48.0" customHeight="1">
      <c r="A19" s="42" t="s">
        <v>94</v>
      </c>
      <c r="B19" s="43">
        <v>3.0</v>
      </c>
      <c r="C19" s="44" t="s">
        <v>103</v>
      </c>
      <c r="D19" s="45" t="s">
        <v>97</v>
      </c>
      <c r="E19" s="46">
        <v>850.0</v>
      </c>
      <c r="F19" s="46">
        <v>820.0</v>
      </c>
      <c r="G19" s="47" t="str">
        <f t="shared" si="6"/>
        <v>GREEN</v>
      </c>
      <c r="H19" s="44" t="s">
        <v>104</v>
      </c>
      <c r="I19" s="44" t="s">
        <v>105</v>
      </c>
    </row>
    <row r="20" ht="48.0" customHeight="1">
      <c r="A20" s="10" t="s">
        <v>94</v>
      </c>
      <c r="B20" s="6">
        <v>4.0</v>
      </c>
      <c r="C20" s="48" t="s">
        <v>106</v>
      </c>
      <c r="D20" s="49" t="s">
        <v>97</v>
      </c>
      <c r="E20" s="50">
        <v>600.0</v>
      </c>
      <c r="F20" s="50">
        <v>580.0</v>
      </c>
      <c r="G20" s="47" t="str">
        <f t="shared" si="6"/>
        <v>GREEN</v>
      </c>
      <c r="H20" s="48" t="s">
        <v>107</v>
      </c>
      <c r="I20" s="48" t="s">
        <v>108</v>
      </c>
    </row>
    <row r="21" ht="48.0" customHeight="1">
      <c r="A21" s="42" t="s">
        <v>94</v>
      </c>
      <c r="B21" s="43">
        <v>5.0</v>
      </c>
      <c r="C21" s="44" t="s">
        <v>109</v>
      </c>
      <c r="D21" s="45" t="s">
        <v>97</v>
      </c>
      <c r="E21" s="46">
        <v>950.0</v>
      </c>
      <c r="F21" s="46">
        <v>980.0</v>
      </c>
      <c r="G21" s="47" t="str">
        <f t="shared" si="6"/>
        <v>AMBER</v>
      </c>
      <c r="H21" s="44" t="s">
        <v>110</v>
      </c>
      <c r="I21" s="44" t="s">
        <v>111</v>
      </c>
    </row>
    <row r="22" ht="48.0" customHeight="1">
      <c r="A22" s="10" t="s">
        <v>94</v>
      </c>
      <c r="B22" s="6">
        <v>6.0</v>
      </c>
      <c r="C22" s="48" t="s">
        <v>112</v>
      </c>
      <c r="D22" s="49" t="s">
        <v>97</v>
      </c>
      <c r="E22" s="50">
        <v>400.0</v>
      </c>
      <c r="F22" s="50">
        <v>420.0</v>
      </c>
      <c r="G22" s="47" t="str">
        <f t="shared" si="6"/>
        <v>AMBER</v>
      </c>
      <c r="H22" s="48" t="s">
        <v>113</v>
      </c>
      <c r="I22" s="48" t="s">
        <v>114</v>
      </c>
    </row>
    <row r="23" ht="19.5" customHeight="1">
      <c r="A23" s="35" t="s">
        <v>115</v>
      </c>
      <c r="B23" s="36"/>
      <c r="C23" s="37" t="s">
        <v>116</v>
      </c>
      <c r="D23" s="13"/>
      <c r="E23" s="38">
        <f t="shared" ref="E23:F23" si="7">SUM(E24:E27)</f>
        <v>1100</v>
      </c>
      <c r="F23" s="38">
        <f t="shared" si="7"/>
        <v>1060</v>
      </c>
      <c r="G23" s="38">
        <f>F23-E23</f>
        <v>-40</v>
      </c>
      <c r="H23" s="40">
        <f>IF(E23=0,0,(F23-E23)/E23)</f>
        <v>-0.03636363636</v>
      </c>
      <c r="I23" s="41" t="str">
        <f>IF(H23&gt;0.05,"RED",IF(H23&gt;0,"AMBER","GREEN"))</f>
        <v>GREEN</v>
      </c>
    </row>
    <row r="24" ht="48.0" customHeight="1">
      <c r="A24" s="42" t="s">
        <v>115</v>
      </c>
      <c r="B24" s="43">
        <v>1.0</v>
      </c>
      <c r="C24" s="51" t="s">
        <v>117</v>
      </c>
      <c r="D24" s="45" t="s">
        <v>118</v>
      </c>
      <c r="E24" s="46">
        <v>480.0</v>
      </c>
      <c r="F24" s="46">
        <v>480.0</v>
      </c>
      <c r="G24" s="47" t="str">
        <f t="shared" ref="G24:G27" si="8">IF(E24=0,"N/A",IF((F24-E24)/E24&gt;0.05,"RED",IF((F24-E24)/E24&gt;0,"AMBER","GREEN")))</f>
        <v>GREEN</v>
      </c>
      <c r="H24" s="44" t="s">
        <v>119</v>
      </c>
      <c r="I24" s="44" t="s">
        <v>120</v>
      </c>
    </row>
    <row r="25" ht="48.0" customHeight="1">
      <c r="A25" s="10" t="s">
        <v>115</v>
      </c>
      <c r="B25" s="6">
        <v>2.0</v>
      </c>
      <c r="C25" s="52" t="s">
        <v>121</v>
      </c>
      <c r="D25" s="49" t="s">
        <v>118</v>
      </c>
      <c r="E25" s="50">
        <v>180.0</v>
      </c>
      <c r="F25" s="50">
        <v>165.0</v>
      </c>
      <c r="G25" s="47" t="str">
        <f t="shared" si="8"/>
        <v>GREEN</v>
      </c>
      <c r="H25" s="48" t="s">
        <v>122</v>
      </c>
      <c r="I25" s="48" t="s">
        <v>123</v>
      </c>
    </row>
    <row r="26" ht="48.0" customHeight="1">
      <c r="A26" s="42" t="s">
        <v>115</v>
      </c>
      <c r="B26" s="43">
        <v>3.0</v>
      </c>
      <c r="C26" s="44" t="s">
        <v>124</v>
      </c>
      <c r="D26" s="45" t="s">
        <v>118</v>
      </c>
      <c r="E26" s="46">
        <v>120.0</v>
      </c>
      <c r="F26" s="46">
        <v>120.0</v>
      </c>
      <c r="G26" s="47" t="str">
        <f t="shared" si="8"/>
        <v>GREEN</v>
      </c>
      <c r="H26" s="44" t="s">
        <v>125</v>
      </c>
      <c r="I26" s="44" t="s">
        <v>126</v>
      </c>
    </row>
    <row r="27" ht="48.0" customHeight="1">
      <c r="A27" s="42" t="s">
        <v>115</v>
      </c>
      <c r="B27" s="43">
        <v>5.0</v>
      </c>
      <c r="C27" s="44" t="s">
        <v>127</v>
      </c>
      <c r="D27" s="45" t="s">
        <v>118</v>
      </c>
      <c r="E27" s="50">
        <v>320.0</v>
      </c>
      <c r="F27" s="50">
        <v>295.0</v>
      </c>
      <c r="G27" s="47" t="str">
        <f t="shared" si="8"/>
        <v>GREEN</v>
      </c>
      <c r="H27" s="44" t="s">
        <v>128</v>
      </c>
      <c r="I27" s="44" t="s">
        <v>129</v>
      </c>
    </row>
    <row r="28" ht="19.5" customHeight="1">
      <c r="A28" s="35" t="s">
        <v>130</v>
      </c>
      <c r="B28" s="36"/>
      <c r="C28" s="37" t="s">
        <v>131</v>
      </c>
      <c r="D28" s="13"/>
      <c r="E28" s="38">
        <f t="shared" ref="E28:F28" si="9">SUM(E29:E35)</f>
        <v>5200</v>
      </c>
      <c r="F28" s="38">
        <f t="shared" si="9"/>
        <v>5410</v>
      </c>
      <c r="G28" s="38">
        <f>F28-E28</f>
        <v>210</v>
      </c>
      <c r="H28" s="40">
        <f>IF(E28=0,0,(F28-E28)/E28)</f>
        <v>0.04038461538</v>
      </c>
      <c r="I28" s="41" t="str">
        <f>IF(H28&gt;0.05,"RED",IF(H28&gt;0,"AMBER","GREEN"))</f>
        <v>AMBER</v>
      </c>
    </row>
    <row r="29" ht="48.0" customHeight="1">
      <c r="A29" s="42" t="s">
        <v>130</v>
      </c>
      <c r="B29" s="43">
        <v>1.0</v>
      </c>
      <c r="C29" s="44" t="s">
        <v>132</v>
      </c>
      <c r="D29" s="45" t="s">
        <v>133</v>
      </c>
      <c r="E29" s="46">
        <v>900.0</v>
      </c>
      <c r="F29" s="46">
        <v>1080.0</v>
      </c>
      <c r="G29" s="47" t="str">
        <f t="shared" ref="G29:G35" si="10">IF(E29=0,"N/A",IF((F29-E29)/E29&gt;0.05,"RED",IF((F29-E29)/E29&gt;0,"AMBER","GREEN")))</f>
        <v>RED</v>
      </c>
      <c r="H29" s="44" t="s">
        <v>134</v>
      </c>
      <c r="I29" s="44" t="s">
        <v>135</v>
      </c>
    </row>
    <row r="30" ht="48.0" customHeight="1">
      <c r="A30" s="10" t="s">
        <v>130</v>
      </c>
      <c r="B30" s="6">
        <v>2.0</v>
      </c>
      <c r="C30" s="48" t="s">
        <v>136</v>
      </c>
      <c r="D30" s="49" t="s">
        <v>133</v>
      </c>
      <c r="E30" s="50">
        <v>1400.0</v>
      </c>
      <c r="F30" s="53">
        <v>1300.0</v>
      </c>
      <c r="G30" s="47" t="str">
        <f t="shared" si="10"/>
        <v>GREEN</v>
      </c>
      <c r="H30" s="52" t="s">
        <v>137</v>
      </c>
      <c r="I30" s="48" t="s">
        <v>138</v>
      </c>
    </row>
    <row r="31" ht="48.0" customHeight="1">
      <c r="A31" s="42" t="s">
        <v>130</v>
      </c>
      <c r="B31" s="43">
        <v>3.0</v>
      </c>
      <c r="C31" s="44" t="s">
        <v>139</v>
      </c>
      <c r="D31" s="45" t="s">
        <v>133</v>
      </c>
      <c r="E31" s="46">
        <v>600.0</v>
      </c>
      <c r="F31" s="54">
        <v>590.0</v>
      </c>
      <c r="G31" s="47" t="str">
        <f t="shared" si="10"/>
        <v>GREEN</v>
      </c>
      <c r="H31" s="44" t="s">
        <v>140</v>
      </c>
      <c r="I31" s="44" t="s">
        <v>141</v>
      </c>
    </row>
    <row r="32" ht="48.0" customHeight="1">
      <c r="A32" s="10" t="s">
        <v>130</v>
      </c>
      <c r="B32" s="6">
        <v>4.0</v>
      </c>
      <c r="C32" s="48" t="s">
        <v>142</v>
      </c>
      <c r="D32" s="49" t="s">
        <v>133</v>
      </c>
      <c r="E32" s="50">
        <v>640.0</v>
      </c>
      <c r="F32" s="50">
        <v>620.0</v>
      </c>
      <c r="G32" s="47" t="str">
        <f t="shared" si="10"/>
        <v>GREEN</v>
      </c>
      <c r="H32" s="48" t="s">
        <v>143</v>
      </c>
      <c r="I32" s="48" t="s">
        <v>144</v>
      </c>
    </row>
    <row r="33" ht="48.0" customHeight="1">
      <c r="A33" s="42" t="s">
        <v>130</v>
      </c>
      <c r="B33" s="43">
        <v>5.0</v>
      </c>
      <c r="C33" s="44" t="s">
        <v>145</v>
      </c>
      <c r="D33" s="45" t="s">
        <v>133</v>
      </c>
      <c r="E33" s="46">
        <v>880.0</v>
      </c>
      <c r="F33" s="46">
        <v>870.0</v>
      </c>
      <c r="G33" s="47" t="str">
        <f t="shared" si="10"/>
        <v>GREEN</v>
      </c>
      <c r="H33" s="44" t="s">
        <v>146</v>
      </c>
      <c r="I33" s="44" t="s">
        <v>147</v>
      </c>
    </row>
    <row r="34" ht="48.0" customHeight="1">
      <c r="A34" s="10" t="s">
        <v>130</v>
      </c>
      <c r="B34" s="6">
        <v>6.0</v>
      </c>
      <c r="C34" s="48" t="s">
        <v>148</v>
      </c>
      <c r="D34" s="49" t="s">
        <v>133</v>
      </c>
      <c r="E34" s="50">
        <v>480.0</v>
      </c>
      <c r="F34" s="50">
        <v>480.0</v>
      </c>
      <c r="G34" s="47" t="str">
        <f t="shared" si="10"/>
        <v>GREEN</v>
      </c>
      <c r="H34" s="48" t="s">
        <v>149</v>
      </c>
      <c r="I34" s="48" t="s">
        <v>150</v>
      </c>
    </row>
    <row r="35" ht="48.0" customHeight="1">
      <c r="A35" s="42" t="s">
        <v>130</v>
      </c>
      <c r="B35" s="43">
        <v>7.0</v>
      </c>
      <c r="C35" s="44" t="s">
        <v>151</v>
      </c>
      <c r="D35" s="45" t="s">
        <v>133</v>
      </c>
      <c r="E35" s="46">
        <v>300.0</v>
      </c>
      <c r="F35" s="46">
        <v>470.0</v>
      </c>
      <c r="G35" s="47" t="str">
        <f t="shared" si="10"/>
        <v>RED</v>
      </c>
      <c r="H35" s="44" t="s">
        <v>152</v>
      </c>
      <c r="I35" s="44" t="s">
        <v>153</v>
      </c>
    </row>
    <row r="36" ht="19.5" customHeight="1">
      <c r="A36" s="35" t="s">
        <v>154</v>
      </c>
      <c r="B36" s="36"/>
      <c r="C36" s="37" t="s">
        <v>155</v>
      </c>
      <c r="D36" s="13"/>
      <c r="E36" s="38">
        <f t="shared" ref="E36:F36" si="11">SUM(E37:E41)</f>
        <v>3380</v>
      </c>
      <c r="F36" s="38">
        <f t="shared" si="11"/>
        <v>3100</v>
      </c>
      <c r="G36" s="38">
        <f>F36-E36</f>
        <v>-280</v>
      </c>
      <c r="H36" s="40">
        <f>IF(E36=0,0,(F36-E36)/E36)</f>
        <v>-0.08284023669</v>
      </c>
      <c r="I36" s="41" t="str">
        <f>IF(H36&gt;0.05,"RED",IF(H36&gt;0,"AMBER","GREEN"))</f>
        <v>GREEN</v>
      </c>
    </row>
    <row r="37" ht="48.0" customHeight="1">
      <c r="A37" s="42" t="s">
        <v>154</v>
      </c>
      <c r="B37" s="43">
        <v>1.0</v>
      </c>
      <c r="C37" s="51" t="s">
        <v>156</v>
      </c>
      <c r="D37" s="45" t="s">
        <v>157</v>
      </c>
      <c r="E37" s="46">
        <v>1400.0</v>
      </c>
      <c r="F37" s="46">
        <v>1200.0</v>
      </c>
      <c r="G37" s="47" t="str">
        <f t="shared" ref="G37:G41" si="12">IF(E37=0,"N/A",IF((F37-E37)/E37&gt;0.05,"RED",IF((F37-E37)/E37&gt;0,"AMBER","GREEN")))</f>
        <v>GREEN</v>
      </c>
      <c r="H37" s="44" t="s">
        <v>158</v>
      </c>
      <c r="I37" s="44" t="s">
        <v>159</v>
      </c>
    </row>
    <row r="38" ht="48.0" customHeight="1">
      <c r="A38" s="10" t="s">
        <v>154</v>
      </c>
      <c r="B38" s="6">
        <v>2.0</v>
      </c>
      <c r="C38" s="48" t="s">
        <v>160</v>
      </c>
      <c r="D38" s="49" t="s">
        <v>157</v>
      </c>
      <c r="E38" s="50">
        <v>800.0</v>
      </c>
      <c r="F38" s="50">
        <v>800.0</v>
      </c>
      <c r="G38" s="47" t="str">
        <f t="shared" si="12"/>
        <v>GREEN</v>
      </c>
      <c r="H38" s="48" t="s">
        <v>161</v>
      </c>
      <c r="I38" s="48" t="s">
        <v>162</v>
      </c>
    </row>
    <row r="39" ht="48.0" customHeight="1">
      <c r="A39" s="42" t="s">
        <v>154</v>
      </c>
      <c r="B39" s="43">
        <v>3.0</v>
      </c>
      <c r="C39" s="44" t="s">
        <v>163</v>
      </c>
      <c r="D39" s="45" t="s">
        <v>157</v>
      </c>
      <c r="E39" s="46">
        <v>680.0</v>
      </c>
      <c r="F39" s="46">
        <v>640.0</v>
      </c>
      <c r="G39" s="47" t="str">
        <f t="shared" si="12"/>
        <v>GREEN</v>
      </c>
      <c r="H39" s="44" t="s">
        <v>164</v>
      </c>
      <c r="I39" s="44" t="s">
        <v>165</v>
      </c>
    </row>
    <row r="40" ht="48.0" customHeight="1">
      <c r="A40" s="10" t="s">
        <v>154</v>
      </c>
      <c r="B40" s="6">
        <v>4.0</v>
      </c>
      <c r="C40" s="48" t="s">
        <v>166</v>
      </c>
      <c r="D40" s="49" t="s">
        <v>157</v>
      </c>
      <c r="E40" s="50">
        <v>220.0</v>
      </c>
      <c r="F40" s="50">
        <v>195.0</v>
      </c>
      <c r="G40" s="47" t="str">
        <f t="shared" si="12"/>
        <v>GREEN</v>
      </c>
      <c r="H40" s="48" t="s">
        <v>167</v>
      </c>
      <c r="I40" s="48" t="s">
        <v>168</v>
      </c>
    </row>
    <row r="41" ht="48.0" customHeight="1">
      <c r="A41" s="42" t="s">
        <v>154</v>
      </c>
      <c r="B41" s="43">
        <v>5.0</v>
      </c>
      <c r="C41" s="44" t="s">
        <v>169</v>
      </c>
      <c r="D41" s="45" t="s">
        <v>157</v>
      </c>
      <c r="E41" s="46">
        <v>280.0</v>
      </c>
      <c r="F41" s="46">
        <v>265.0</v>
      </c>
      <c r="G41" s="47" t="str">
        <f t="shared" si="12"/>
        <v>GREEN</v>
      </c>
      <c r="H41" s="44" t="s">
        <v>170</v>
      </c>
      <c r="I41" s="44" t="s">
        <v>171</v>
      </c>
    </row>
    <row r="42" ht="19.5" customHeight="1">
      <c r="A42" s="35" t="s">
        <v>172</v>
      </c>
      <c r="B42" s="36"/>
      <c r="C42" s="37" t="s">
        <v>173</v>
      </c>
      <c r="D42" s="13"/>
      <c r="E42" s="38">
        <f t="shared" ref="E42:F42" si="13">SUM(E43:E47)</f>
        <v>1250</v>
      </c>
      <c r="F42" s="38">
        <f t="shared" si="13"/>
        <v>950</v>
      </c>
      <c r="G42" s="38">
        <f>F42-E42</f>
        <v>-300</v>
      </c>
      <c r="H42" s="40">
        <f>IF(E42=0,0,(F42-E42)/E42)</f>
        <v>-0.24</v>
      </c>
      <c r="I42" s="41" t="str">
        <f>IF(H42&gt;0.05,"RED",IF(H42&gt;0,"AMBER","GREEN"))</f>
        <v>GREEN</v>
      </c>
    </row>
    <row r="43" ht="48.0" customHeight="1">
      <c r="A43" s="42" t="s">
        <v>172</v>
      </c>
      <c r="B43" s="43">
        <v>1.0</v>
      </c>
      <c r="C43" s="44" t="s">
        <v>174</v>
      </c>
      <c r="D43" s="45" t="s">
        <v>175</v>
      </c>
      <c r="E43" s="46">
        <v>0.0</v>
      </c>
      <c r="F43" s="46">
        <v>0.0</v>
      </c>
      <c r="G43" s="47" t="str">
        <f t="shared" ref="G43:G47" si="14">IF(E43=0,"N/A",IF((F43-E43)/E43&gt;0.05,"RED",IF((F43-E43)/E43&gt;0,"AMBER","GREEN")))</f>
        <v>N/A</v>
      </c>
      <c r="H43" s="44" t="s">
        <v>176</v>
      </c>
      <c r="I43" s="44" t="s">
        <v>177</v>
      </c>
    </row>
    <row r="44" ht="48.0" customHeight="1">
      <c r="A44" s="10" t="s">
        <v>172</v>
      </c>
      <c r="B44" s="6">
        <v>2.0</v>
      </c>
      <c r="C44" s="48" t="s">
        <v>178</v>
      </c>
      <c r="D44" s="49" t="s">
        <v>175</v>
      </c>
      <c r="E44" s="50">
        <v>0.0</v>
      </c>
      <c r="F44" s="50">
        <v>0.0</v>
      </c>
      <c r="G44" s="47" t="str">
        <f t="shared" si="14"/>
        <v>N/A</v>
      </c>
      <c r="H44" s="48" t="s">
        <v>179</v>
      </c>
      <c r="I44" s="48" t="s">
        <v>180</v>
      </c>
    </row>
    <row r="45" ht="48.0" customHeight="1">
      <c r="A45" s="42" t="s">
        <v>172</v>
      </c>
      <c r="B45" s="43">
        <v>3.0</v>
      </c>
      <c r="C45" s="44" t="s">
        <v>181</v>
      </c>
      <c r="D45" s="45" t="s">
        <v>175</v>
      </c>
      <c r="E45" s="46">
        <v>850.0</v>
      </c>
      <c r="F45" s="46">
        <v>620.0</v>
      </c>
      <c r="G45" s="47" t="str">
        <f t="shared" si="14"/>
        <v>GREEN</v>
      </c>
      <c r="H45" s="44" t="s">
        <v>182</v>
      </c>
      <c r="I45" s="44" t="s">
        <v>183</v>
      </c>
    </row>
    <row r="46" ht="48.0" customHeight="1">
      <c r="A46" s="10" t="s">
        <v>172</v>
      </c>
      <c r="B46" s="6">
        <v>4.0</v>
      </c>
      <c r="C46" s="48" t="s">
        <v>184</v>
      </c>
      <c r="D46" s="49" t="s">
        <v>175</v>
      </c>
      <c r="E46" s="50">
        <v>180.0</v>
      </c>
      <c r="F46" s="50">
        <v>175.0</v>
      </c>
      <c r="G46" s="47" t="str">
        <f t="shared" si="14"/>
        <v>GREEN</v>
      </c>
      <c r="H46" s="48" t="s">
        <v>185</v>
      </c>
      <c r="I46" s="48" t="s">
        <v>186</v>
      </c>
    </row>
    <row r="47" ht="48.0" customHeight="1">
      <c r="A47" s="42" t="s">
        <v>172</v>
      </c>
      <c r="B47" s="43">
        <v>5.0</v>
      </c>
      <c r="C47" s="44" t="s">
        <v>187</v>
      </c>
      <c r="D47" s="45" t="s">
        <v>175</v>
      </c>
      <c r="E47" s="46">
        <v>220.0</v>
      </c>
      <c r="F47" s="46">
        <v>155.0</v>
      </c>
      <c r="G47" s="47" t="str">
        <f t="shared" si="14"/>
        <v>GREEN</v>
      </c>
      <c r="H47" s="44" t="s">
        <v>188</v>
      </c>
      <c r="I47" s="44" t="s">
        <v>189</v>
      </c>
    </row>
    <row r="48" ht="19.5" customHeight="1">
      <c r="A48" s="55"/>
      <c r="B48" s="55"/>
      <c r="C48" s="11" t="s">
        <v>190</v>
      </c>
      <c r="D48" s="13"/>
      <c r="E48" s="26">
        <f t="shared" ref="E48:F48" si="15">E3+E9+E16+E23+E28+E36+E42</f>
        <v>38680</v>
      </c>
      <c r="F48" s="26">
        <f t="shared" si="15"/>
        <v>41070</v>
      </c>
      <c r="G48" s="27">
        <f>F48-E48</f>
        <v>2390</v>
      </c>
      <c r="H48" s="55"/>
      <c r="I48" s="55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C42:D42"/>
    <mergeCell ref="C48:D48"/>
    <mergeCell ref="B1:I1"/>
    <mergeCell ref="C3:D3"/>
    <mergeCell ref="C9:D9"/>
    <mergeCell ref="C16:D16"/>
    <mergeCell ref="C23:D23"/>
    <mergeCell ref="C28:D28"/>
    <mergeCell ref="C36:D36"/>
  </mergeCells>
  <conditionalFormatting sqref="G3:G8 G10:G15 G17:G22 G24:G27 G29:G35 G37:G41 G43:G47">
    <cfRule type="cellIs" dxfId="0" priority="1" operator="equal">
      <formula>"RED"</formula>
    </cfRule>
  </conditionalFormatting>
  <conditionalFormatting sqref="G3:G8 G10:G15 G17:G22 G24:G27 G29:G35 G37:G41 G43:G47">
    <cfRule type="cellIs" dxfId="1" priority="2" operator="equal">
      <formula>"AMBER"</formula>
    </cfRule>
  </conditionalFormatting>
  <conditionalFormatting sqref="G3:G8 G10:G15 G17:G22 G24:G27 G29:G35 G37:G41 G43:G47">
    <cfRule type="cellIs" dxfId="2" priority="3" operator="equal">
      <formula>"GREEN"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B8D4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0.0"/>
    <col customWidth="1" min="3" max="7" width="14.0"/>
    <col customWidth="1" min="8" max="26" width="8.71"/>
  </cols>
  <sheetData>
    <row r="1">
      <c r="B1" s="34" t="s">
        <v>191</v>
      </c>
      <c r="C1" s="12"/>
      <c r="D1" s="12"/>
      <c r="E1" s="12"/>
      <c r="F1" s="12"/>
      <c r="G1" s="13"/>
    </row>
    <row r="2">
      <c r="B2" s="14" t="s">
        <v>192</v>
      </c>
      <c r="C2" s="14" t="s">
        <v>12</v>
      </c>
      <c r="D2" s="14" t="s">
        <v>13</v>
      </c>
      <c r="E2" s="14" t="s">
        <v>14</v>
      </c>
      <c r="F2" s="14" t="s">
        <v>193</v>
      </c>
      <c r="G2" s="14" t="s">
        <v>194</v>
      </c>
    </row>
    <row r="3" ht="18.0" customHeight="1">
      <c r="B3" s="56" t="s">
        <v>18</v>
      </c>
      <c r="C3" s="57">
        <f>Data!E3</f>
        <v>11750</v>
      </c>
      <c r="D3" s="57">
        <f>Data!F3</f>
        <v>14200</v>
      </c>
      <c r="E3" s="17">
        <f t="shared" ref="E3:E10" si="1">D3-C3</f>
        <v>2450</v>
      </c>
      <c r="F3" s="58">
        <f t="shared" ref="F3:F10" si="2">IF(C3=0,0,(D3-C3)/C3)</f>
        <v>0.2085106383</v>
      </c>
      <c r="G3" s="59">
        <f>IF(Dashboard!C18=0,0,C3/Dashboard!C18)</f>
        <v>0.3037745605</v>
      </c>
    </row>
    <row r="4" ht="18.0" customHeight="1">
      <c r="B4" s="60" t="s">
        <v>21</v>
      </c>
      <c r="C4" s="61">
        <f>Data!E9</f>
        <v>9200</v>
      </c>
      <c r="D4" s="61">
        <f>Data!F9</f>
        <v>8750</v>
      </c>
      <c r="E4" s="22">
        <f t="shared" si="1"/>
        <v>-450</v>
      </c>
      <c r="F4" s="62">
        <f t="shared" si="2"/>
        <v>-0.04891304348</v>
      </c>
      <c r="G4" s="63">
        <f>IF(Dashboard!C18=0,0,C4/Dashboard!C18)</f>
        <v>0.2378490176</v>
      </c>
    </row>
    <row r="5" ht="18.0" customHeight="1">
      <c r="B5" s="56" t="s">
        <v>24</v>
      </c>
      <c r="C5" s="57">
        <f>Data!E16</f>
        <v>6800</v>
      </c>
      <c r="D5" s="57">
        <f>Data!F16</f>
        <v>7600</v>
      </c>
      <c r="E5" s="17">
        <f t="shared" si="1"/>
        <v>800</v>
      </c>
      <c r="F5" s="58">
        <f t="shared" si="2"/>
        <v>0.1176470588</v>
      </c>
      <c r="G5" s="59">
        <f>IF(Dashboard!C18=0,0,C5/Dashboard!C18)</f>
        <v>0.1758014478</v>
      </c>
    </row>
    <row r="6" ht="18.0" customHeight="1">
      <c r="B6" s="60" t="s">
        <v>27</v>
      </c>
      <c r="C6" s="61">
        <f>Data!E23</f>
        <v>1100</v>
      </c>
      <c r="D6" s="61">
        <f>Data!F23</f>
        <v>1060</v>
      </c>
      <c r="E6" s="22">
        <f t="shared" si="1"/>
        <v>-40</v>
      </c>
      <c r="F6" s="62">
        <f t="shared" si="2"/>
        <v>-0.03636363636</v>
      </c>
      <c r="G6" s="63">
        <f>IF(Dashboard!C18=0,0,C6/Dashboard!C18)</f>
        <v>0.02843846949</v>
      </c>
    </row>
    <row r="7" ht="18.0" customHeight="1">
      <c r="B7" s="56" t="s">
        <v>30</v>
      </c>
      <c r="C7" s="57">
        <f>Data!E28</f>
        <v>5200</v>
      </c>
      <c r="D7" s="57">
        <f>Data!F28</f>
        <v>5410</v>
      </c>
      <c r="E7" s="17">
        <f t="shared" si="1"/>
        <v>210</v>
      </c>
      <c r="F7" s="58">
        <f t="shared" si="2"/>
        <v>0.04038461538</v>
      </c>
      <c r="G7" s="59">
        <f>IF(Dashboard!C18=0,0,C7/Dashboard!C18)</f>
        <v>0.1344364012</v>
      </c>
    </row>
    <row r="8" ht="18.0" customHeight="1">
      <c r="B8" s="60" t="s">
        <v>33</v>
      </c>
      <c r="C8" s="61">
        <f>Data!E36</f>
        <v>3380</v>
      </c>
      <c r="D8" s="61">
        <f>Data!F36</f>
        <v>3100</v>
      </c>
      <c r="E8" s="22">
        <f t="shared" si="1"/>
        <v>-280</v>
      </c>
      <c r="F8" s="62">
        <f t="shared" si="2"/>
        <v>-0.08284023669</v>
      </c>
      <c r="G8" s="63">
        <f>IF(Dashboard!C18=0,0,C8/Dashboard!C18)</f>
        <v>0.08738366081</v>
      </c>
    </row>
    <row r="9" ht="18.0" customHeight="1">
      <c r="B9" s="56" t="s">
        <v>36</v>
      </c>
      <c r="C9" s="57">
        <f>Data!E42</f>
        <v>1250</v>
      </c>
      <c r="D9" s="57">
        <f>Data!F42</f>
        <v>950</v>
      </c>
      <c r="E9" s="17">
        <f t="shared" si="1"/>
        <v>-300</v>
      </c>
      <c r="F9" s="58">
        <f t="shared" si="2"/>
        <v>-0.24</v>
      </c>
      <c r="G9" s="59">
        <f>IF(Dashboard!C18=0,0,C9/Dashboard!C18)</f>
        <v>0.03231644261</v>
      </c>
    </row>
    <row r="10" ht="18.0" customHeight="1">
      <c r="B10" s="25" t="s">
        <v>39</v>
      </c>
      <c r="C10" s="26">
        <f t="shared" ref="C10:D10" si="3">SUM(C3:C9)</f>
        <v>38680</v>
      </c>
      <c r="D10" s="26">
        <f t="shared" si="3"/>
        <v>41070</v>
      </c>
      <c r="E10" s="27">
        <f t="shared" si="1"/>
        <v>2390</v>
      </c>
      <c r="F10" s="64">
        <f t="shared" si="2"/>
        <v>0.06178903826</v>
      </c>
      <c r="G10" s="65">
        <f>SUM(G3:G9)</f>
        <v>1</v>
      </c>
    </row>
    <row r="12">
      <c r="B12" s="11" t="s">
        <v>195</v>
      </c>
      <c r="C12" s="12"/>
      <c r="D12" s="12"/>
      <c r="E12" s="12"/>
      <c r="F12" s="12"/>
      <c r="G12" s="13"/>
    </row>
    <row r="13" ht="16.5" customHeight="1">
      <c r="B13" s="66" t="s">
        <v>196</v>
      </c>
      <c r="C13" s="20" t="str">
        <f t="array" ref="C13">INDEX(B3:B9,MATCH(MAX(E3:E9),E3:E9,0))</f>
        <v>Chassis &amp; Aero Components</v>
      </c>
      <c r="D13" s="31"/>
      <c r="E13" s="31"/>
      <c r="F13" s="31"/>
      <c r="G13" s="31"/>
    </row>
    <row r="14" ht="16.5" customHeight="1">
      <c r="B14" s="66" t="s">
        <v>197</v>
      </c>
      <c r="C14" s="20" t="str">
        <f t="array" ref="C14">INDEX(B3:B9,MATCH(MIN(E3:E9),E3:E9,0))</f>
        <v>Drivetrain &amp; Suspension</v>
      </c>
      <c r="D14" s="31"/>
      <c r="E14" s="31"/>
      <c r="F14" s="31"/>
      <c r="G14" s="31"/>
    </row>
    <row r="15" ht="16.5" customHeight="1">
      <c r="B15" s="66" t="s">
        <v>41</v>
      </c>
      <c r="C15" s="67">
        <f>SUMIF(E3:E9,"&gt;0",E3:E9)</f>
        <v>3460</v>
      </c>
      <c r="D15" s="31"/>
      <c r="E15" s="31"/>
      <c r="F15" s="31"/>
      <c r="G15" s="31"/>
    </row>
    <row r="16" ht="16.5" customHeight="1">
      <c r="B16" s="66" t="s">
        <v>42</v>
      </c>
      <c r="C16" s="67">
        <f>ABS(SUMIF(E3:E9,"&lt;0",E3:E9))</f>
        <v>1070</v>
      </c>
      <c r="D16" s="31"/>
      <c r="E16" s="31"/>
      <c r="F16" s="31"/>
      <c r="G16" s="31"/>
    </row>
    <row r="17" ht="16.5" customHeight="1">
      <c r="B17" s="66" t="s">
        <v>198</v>
      </c>
      <c r="C17" s="68">
        <f>D10-C10</f>
        <v>2390</v>
      </c>
      <c r="D17" s="31"/>
      <c r="E17" s="31"/>
      <c r="F17" s="31"/>
      <c r="G17" s="31"/>
    </row>
    <row r="18" ht="16.5" customHeight="1">
      <c r="B18" s="66" t="s">
        <v>199</v>
      </c>
      <c r="C18" s="69">
        <f>IFERROR(maxifs(F3:F9,F3:F9,"&gt;"&amp;0),0)</f>
        <v>0.2085106383</v>
      </c>
      <c r="D18" s="31"/>
      <c r="E18" s="31"/>
      <c r="F18" s="31"/>
      <c r="G18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1:G1"/>
    <mergeCell ref="B12:G12"/>
  </mergeCells>
  <conditionalFormatting sqref="F3:F9">
    <cfRule type="cellIs" dxfId="3" priority="1" operator="greaterThan">
      <formula>0</formula>
    </cfRule>
  </conditionalFormatting>
  <conditionalFormatting sqref="F3:F9">
    <cfRule type="cellIs" dxfId="4" priority="2" operator="less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8D4C0"/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26.0"/>
    <col customWidth="1" min="3" max="3" width="58.0"/>
    <col customWidth="1" min="4" max="4" width="4.0"/>
    <col customWidth="1" min="5" max="26" width="8.71"/>
  </cols>
  <sheetData>
    <row r="1">
      <c r="B1" s="34" t="s">
        <v>200</v>
      </c>
      <c r="C1" s="13"/>
    </row>
    <row r="2" ht="49.5" customHeight="1">
      <c r="B2" s="70" t="s">
        <v>201</v>
      </c>
      <c r="C2" s="71" t="s">
        <v>202</v>
      </c>
    </row>
    <row r="3" ht="49.5" customHeight="1">
      <c r="B3" s="70" t="s">
        <v>203</v>
      </c>
      <c r="C3" s="71" t="s">
        <v>204</v>
      </c>
    </row>
    <row r="4">
      <c r="B4" s="70" t="s">
        <v>205</v>
      </c>
      <c r="C4" s="71" t="s">
        <v>206</v>
      </c>
    </row>
    <row r="5" ht="49.5" customHeight="1">
      <c r="B5" s="70" t="s">
        <v>207</v>
      </c>
      <c r="C5" s="71" t="s">
        <v>208</v>
      </c>
    </row>
    <row r="6" ht="49.5" customHeight="1">
      <c r="B6" s="70" t="s">
        <v>209</v>
      </c>
      <c r="C6" s="72" t="s">
        <v>210</v>
      </c>
    </row>
    <row r="7" ht="49.5" customHeight="1">
      <c r="B7" s="70" t="s">
        <v>211</v>
      </c>
      <c r="C7" s="72" t="s">
        <v>212</v>
      </c>
    </row>
    <row r="8" ht="49.5" customHeight="1">
      <c r="B8" s="70" t="s">
        <v>213</v>
      </c>
      <c r="C8" s="72" t="s">
        <v>214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1:C1"/>
  </mergeCells>
  <printOptions/>
  <pageMargins bottom="1.0" footer="0.0" header="0.0" left="0.75" right="0.75" top="1.0"/>
  <pageSetup paperSize="9" orientation="portrait"/>
  <drawing r:id="rId1"/>
</worksheet>
</file>